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Settings" sheetId="2" state="visible" r:id="rId4"/>
    <sheet name="Transactions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<sst xmlns="http://schemas.openxmlformats.org/spreadsheetml/2006/main" count="138" uniqueCount="86">
  <si>
    <t xml:space="preserve">Cash-Flow Tracker  |  Suivi de trésorerie  (GNF / USD)</t>
  </si>
  <si>
    <t xml:space="preserve">How to use / Mode d'emploi</t>
  </si>
  <si>
    <t xml:space="preserve">1. Settings: enter business name, year, display currency (GNF or USD), exchange rate and opening cash.</t>
  </si>
  <si>
    <t xml:space="preserve">   Paramètres : nom, année, devise d'affichage, taux de change et trésorerie d'ouverture.</t>
  </si>
  <si>
    <t xml:space="preserve">2. Transactions: one row per income or expense. Pick Type, Category and Currency from the drop-downs.</t>
  </si>
  <si>
    <t xml:space="preserve">   Transactions : une ligne par encaissement ou décaissement. Choisissez dans les listes déroulantes.</t>
  </si>
  <si>
    <t xml:space="preserve">3. Dashboard: updates automatically (monthly cash flow, closing cash, runway, expenses by category).</t>
  </si>
  <si>
    <t xml:space="preserve">   Tableau de bord : se met à jour automatiquement.</t>
  </si>
  <si>
    <t xml:space="preserve">Colour code</t>
  </si>
  <si>
    <t xml:space="preserve">Blue text = cells you type in.  Yellow fill = key settings to update.  Black = formulas (do not edit).</t>
  </si>
  <si>
    <t xml:space="preserve">Important assumptions</t>
  </si>
  <si>
    <t xml:space="preserve">• One exchange rate (GNF per 1 USD) converts all USD entries. The rate in Settings is a PLACEHOLDER: replace it with your current rate.</t>
  </si>
  <si>
    <t xml:space="preserve">• Opening cash is the balance on 1 January of the selected year. Entries from other years are ignored in the Dashboard.</t>
  </si>
  <si>
    <t xml:space="preserve">• Rows 1–12 of Transactions are SAMPLE data (marked '(Example)'). Delete or overwrite them with your own.</t>
  </si>
  <si>
    <t xml:space="preserve">• The Transactions sheet is ready for 500 entries (rows 5–504).</t>
  </si>
  <si>
    <t xml:space="preserve">Settings | Paramètres</t>
  </si>
  <si>
    <t xml:space="preserve">Categories / Catégories</t>
  </si>
  <si>
    <t xml:space="preserve">Type</t>
  </si>
  <si>
    <t xml:space="preserve">Business name / Nom de l'entreprise</t>
  </si>
  <si>
    <t xml:space="preserve">My Business</t>
  </si>
  <si>
    <t xml:space="preserve">Year / Année</t>
  </si>
  <si>
    <t xml:space="preserve">Sales / Ventes</t>
  </si>
  <si>
    <t xml:space="preserve">Income</t>
  </si>
  <si>
    <t xml:space="preserve">Display currency / Devise d'affichage</t>
  </si>
  <si>
    <t xml:space="preserve">GNF</t>
  </si>
  <si>
    <t xml:space="preserve">Services</t>
  </si>
  <si>
    <t xml:space="preserve">Exchange rate (GNF per 1 USD) / Taux de change</t>
  </si>
  <si>
    <t xml:space="preserve">Other income / Autres revenus</t>
  </si>
  <si>
    <t xml:space="preserve">Opening cash GNF / Trésorerie d'ouverture (GNF)</t>
  </si>
  <si>
    <t xml:space="preserve">Loan received / Prêt reçu</t>
  </si>
  <si>
    <t xml:space="preserve">Opening cash USD / Trésorerie d'ouverture (USD)</t>
  </si>
  <si>
    <t xml:space="preserve">Capital injection / Apport</t>
  </si>
  <si>
    <t xml:space="preserve">Display factor (GNF → display currency)</t>
  </si>
  <si>
    <t xml:space="preserve">Rent / Loyer</t>
  </si>
  <si>
    <t xml:space="preserve">Expense</t>
  </si>
  <si>
    <t xml:space="preserve">Exchange rate and opening balances are example values entered by the author; replace them.</t>
  </si>
  <si>
    <t xml:space="preserve">Salaries / Salaires</t>
  </si>
  <si>
    <t xml:space="preserve">Transport</t>
  </si>
  <si>
    <t xml:space="preserve">Electricity &amp; Water / EDG &amp; SEG</t>
  </si>
  <si>
    <t xml:space="preserve">Stock &amp; Supplies / Stock</t>
  </si>
  <si>
    <t xml:space="preserve">Marketing</t>
  </si>
  <si>
    <t xml:space="preserve">Taxes &amp; Fees / Impôts</t>
  </si>
  <si>
    <t xml:space="preserve">Loan repayment / Remb. prêt</t>
  </si>
  <si>
    <t xml:space="preserve">Owner withdrawals / Prélèvements</t>
  </si>
  <si>
    <t xml:space="preserve">Other expense / Autres charges</t>
  </si>
  <si>
    <t xml:space="preserve">Transactions | Opérations</t>
  </si>
  <si>
    <t xml:space="preserve">Type in blue columns A–F. Columns G–I calculate automatically. / Saisissez les colonnes A–F.</t>
  </si>
  <si>
    <t xml:space="preserve">Date</t>
  </si>
  <si>
    <t xml:space="preserve">Description</t>
  </si>
  <si>
    <t xml:space="preserve">Category / Catégorie</t>
  </si>
  <si>
    <t xml:space="preserve">Currency / Devise</t>
  </si>
  <si>
    <t xml:space="preserve">Amount / Montant</t>
  </si>
  <si>
    <t xml:space="preserve">Amount GNF</t>
  </si>
  <si>
    <t xml:space="preserve">Amount USD</t>
  </si>
  <si>
    <t xml:space="preserve">Month</t>
  </si>
  <si>
    <t xml:space="preserve">(Example) Cash sales week 1</t>
  </si>
  <si>
    <t xml:space="preserve">(Example) Shop rent</t>
  </si>
  <si>
    <t xml:space="preserve">(Example) Consulting invoice</t>
  </si>
  <si>
    <t xml:space="preserve">USD</t>
  </si>
  <si>
    <t xml:space="preserve">(Example) Salaries</t>
  </si>
  <si>
    <t xml:space="preserve">(Example) Cash sales</t>
  </si>
  <si>
    <t xml:space="preserve">(Example) Imported stock</t>
  </si>
  <si>
    <t xml:space="preserve">(Example) Electricity &amp; water</t>
  </si>
  <si>
    <t xml:space="preserve">(Example) Facebook ads</t>
  </si>
  <si>
    <t xml:space="preserve">(Example) Taxes</t>
  </si>
  <si>
    <t xml:space="preserve">(Example) Services invoice</t>
  </si>
  <si>
    <t xml:space="preserve">(Example) Transport</t>
  </si>
  <si>
    <t xml:space="preserve">Dashboard | Tableau de bord</t>
  </si>
  <si>
    <t xml:space="preserve">Opening cash / Trésorerie d'ouverture</t>
  </si>
  <si>
    <t xml:space="preserve">Total income / Total encaissements</t>
  </si>
  <si>
    <t xml:space="preserve">Total expenses / Total décaissements</t>
  </si>
  <si>
    <t xml:space="preserve">Net cash flow / Flux net</t>
  </si>
  <si>
    <t xml:space="preserve">Closing cash / Trésorerie de clôture</t>
  </si>
  <si>
    <t xml:space="preserve">Avg monthly expenses / Dépenses mensuelles moy.</t>
  </si>
  <si>
    <t xml:space="preserve">Cash runway (months) / Autonomie (mois)</t>
  </si>
  <si>
    <t xml:space="preserve">Monthly cash flow / Flux mensuel</t>
  </si>
  <si>
    <t xml:space="preserve">Expenses by category / Dépenses par catégorie</t>
  </si>
  <si>
    <t xml:space="preserve">Month / Mois</t>
  </si>
  <si>
    <t xml:space="preserve">Expenses</t>
  </si>
  <si>
    <t xml:space="preserve">Net</t>
  </si>
  <si>
    <t xml:space="preserve">Closing cash</t>
  </si>
  <si>
    <t xml:space="preserve">Category</t>
  </si>
  <si>
    <t xml:space="preserve">Amount</t>
  </si>
  <si>
    <t xml:space="preserve">% of total</t>
  </si>
  <si>
    <t xml:space="preserve">Total</t>
  </si>
  <si>
    <t xml:space="preserve">Opening cash is the balance on 1 Jan of the selected year (see Settings).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</si>
</sst>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#,##0.00"/>
    <numFmt numFmtId="167" formatCode="#,##0;\(#,##0\);\-"/>
    <numFmt numFmtId="168" formatCode="#,##0.00;\(#,##0.00\);\-"/>
    <numFmt numFmtId="169" formatCode="0.000000"/>
    <numFmt numFmtId="170" formatCode="dd/mm/yyyy"/>
    <numFmt numFmtId="171" formatCode="mmm\ yyyy"/>
    <numFmt numFmtId="172" formatCode="0.0"/>
    <numFmt numFmtId="173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5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5F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vs Expenses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Dashboard!B14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Dashboard!$A$15:$A$26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Dashboard!$B$15:$B$26</c:f>
              <c:numCache>
                <c:formatCode>#,##0;\(#,##0\);\-</c:formatCode>
                <c:ptCount val="12"/>
                <c:pt idx="0">
                  <c:v>15892500</c:v>
                </c:pt>
                <c:pt idx="1">
                  <c:v>14500000</c:v>
                </c:pt>
                <c:pt idx="2">
                  <c:v>16000000</c:v>
                </c:pt>
                <c:pt idx="3">
                  <c:v>7785000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Dashboard!C14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Dashboard!$A$15:$A$26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Dashboard!$C$15:$C$26</c:f>
              <c:numCache>
                <c:formatCode>#,##0;\(#,##0\);\-</c:formatCode>
                <c:ptCount val="12"/>
                <c:pt idx="0">
                  <c:v>7500000</c:v>
                </c:pt>
                <c:pt idx="1">
                  <c:v>5840000</c:v>
                </c:pt>
                <c:pt idx="2">
                  <c:v>2000000</c:v>
                </c:pt>
                <c:pt idx="3">
                  <c:v>450000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38426212"/>
        <c:axId val="80235391"/>
      </c:barChart>
      <c:catAx>
        <c:axId val="38426212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35391"/>
        <c:crosses val="autoZero"/>
        <c:auto val="1"/>
        <c:lblAlgn val="ctr"/>
        <c:lblOffset val="100"/>
        <c:noMultiLvlLbl val="0"/>
      </c:catAx>
      <c:valAx>
        <c:axId val="802353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262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Dashboard!H14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Dashboard!$G$15:$G$24</c:f>
              <c:strCache>
                <c:ptCount val="10"/>
                <c:pt idx="0">
                  <c:v>Rent / Loyer</c:v>
                </c:pt>
                <c:pt idx="1">
                  <c:v>Salaries / Salaires</c:v>
                </c:pt>
                <c:pt idx="2">
                  <c:v>Transport</c:v>
                </c:pt>
                <c:pt idx="3">
                  <c:v>Electricity &amp; Water / EDG &amp; SEG</c:v>
                </c:pt>
                <c:pt idx="4">
                  <c:v>Stock &amp; Supplies / Stock</c:v>
                </c:pt>
                <c:pt idx="5">
                  <c:v>Marketing</c:v>
                </c:pt>
                <c:pt idx="6">
                  <c:v>Taxes &amp; Fees / Impôts</c:v>
                </c:pt>
                <c:pt idx="7">
                  <c:v>Loan repayment / Remb. prêt</c:v>
                </c:pt>
                <c:pt idx="8">
                  <c:v>Owner withdrawals / Prélèvements</c:v>
                </c:pt>
                <c:pt idx="9">
                  <c:v>Other expense / Autres charges</c:v>
                </c:pt>
              </c:strCache>
            </c:strRef>
          </c:cat>
          <c:val>
            <c:numRef>
              <c:f>Dashboard!$H$15:$H$24</c:f>
              <c:numCache>
                <c:formatCode>#,##0;\(#,##0\);\-</c:formatCode>
                <c:ptCount val="10"/>
                <c:pt idx="0">
                  <c:v>3000000</c:v>
                </c:pt>
                <c:pt idx="1">
                  <c:v>4500000</c:v>
                </c:pt>
                <c:pt idx="2">
                  <c:v>450000</c:v>
                </c:pt>
                <c:pt idx="3">
                  <c:v>650000</c:v>
                </c:pt>
                <c:pt idx="4">
                  <c:v>5190000</c:v>
                </c:pt>
                <c:pt idx="5">
                  <c:v>800000</c:v>
                </c:pt>
                <c:pt idx="6">
                  <c:v>1200000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17971297"/>
        <c:axId val="49181675"/>
      </c:barChart>
      <c:catAx>
        <c:axId val="179712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81675"/>
        <c:crosses val="autoZero"/>
        <c:auto val="1"/>
        <c:lblAlgn val="ctr"/>
        <c:lblOffset val="100"/>
        <c:noMultiLvlLbl val="0"/>
      </c:catAx>
      <c:valAx>
        <c:axId val="491816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712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131040</xdr:rowOff>
    </xdr:from>
    <xdr:to>
      <xdr:col>3</xdr:col>
      <xdr:colOff>402840</xdr:colOff>
      <xdr:row>43</xdr:row>
      <xdr:rowOff>153000</xdr:rowOff>
    </xdr:to>
    <xdr:graphicFrame>
      <xdr:nvGraphicFramePr>
        <xdr:cNvPr id="0" name="Chart 1"/>
        <xdr:cNvGraphicFramePr/>
      </xdr:nvGraphicFramePr>
      <xdr:xfrm>
        <a:off x="0" y="5524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28</xdr:row>
      <xdr:rowOff>131040</xdr:rowOff>
    </xdr:from>
    <xdr:to>
      <xdr:col>11</xdr:col>
      <xdr:colOff>25560</xdr:colOff>
      <xdr:row>43</xdr:row>
      <xdr:rowOff>153000</xdr:rowOff>
    </xdr:to>
    <xdr:graphicFrame>
      <xdr:nvGraphicFramePr>
        <xdr:cNvPr id="1" name="Chart 2"/>
        <xdr:cNvGraphicFramePr/>
      </xdr:nvGraphicFramePr>
      <xdr:xfrm>
        <a:off x="7823880" y="5524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4" min="4" style="0" width="36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4" t="s">
        <v>15</v>
      </c>
    </row>
    <row r="2" customFormat="false" ht="15" hidden="false" customHeight="false" outlineLevel="0" collapsed="false">
      <c r="D2" s="5" t="s">
        <v>16</v>
      </c>
      <c r="E2" s="5" t="s">
        <v>17</v>
      </c>
    </row>
    <row r="3" customFormat="false" ht="15" hidden="false" customHeight="false" outlineLevel="0" collapsed="false">
      <c r="A3" s="3" t="s">
        <v>18</v>
      </c>
      <c r="B3" s="6" t="s">
        <v>19</v>
      </c>
    </row>
    <row r="4" customFormat="false" ht="15" hidden="false" customHeight="false" outlineLevel="0" collapsed="false">
      <c r="A4" s="3" t="s">
        <v>20</v>
      </c>
      <c r="B4" s="7" t="n">
        <v>2026</v>
      </c>
      <c r="D4" s="8" t="s">
        <v>21</v>
      </c>
      <c r="E4" s="3" t="s">
        <v>22</v>
      </c>
    </row>
    <row r="5" customFormat="false" ht="15" hidden="false" customHeight="false" outlineLevel="0" collapsed="false">
      <c r="A5" s="3" t="s">
        <v>23</v>
      </c>
      <c r="B5" s="6" t="s">
        <v>24</v>
      </c>
      <c r="D5" s="8" t="s">
        <v>25</v>
      </c>
      <c r="E5" s="3" t="s">
        <v>22</v>
      </c>
    </row>
    <row r="6" customFormat="false" ht="15" hidden="false" customHeight="false" outlineLevel="0" collapsed="false">
      <c r="A6" s="3" t="s">
        <v>26</v>
      </c>
      <c r="B6" s="9" t="n">
        <v>8650</v>
      </c>
      <c r="D6" s="8" t="s">
        <v>27</v>
      </c>
      <c r="E6" s="3" t="s">
        <v>22</v>
      </c>
    </row>
    <row r="7" customFormat="false" ht="15" hidden="false" customHeight="false" outlineLevel="0" collapsed="false">
      <c r="A7" s="3" t="s">
        <v>28</v>
      </c>
      <c r="B7" s="10" t="n">
        <v>5000000</v>
      </c>
      <c r="D7" s="8" t="s">
        <v>29</v>
      </c>
      <c r="E7" s="3" t="s">
        <v>22</v>
      </c>
    </row>
    <row r="8" customFormat="false" ht="15" hidden="false" customHeight="false" outlineLevel="0" collapsed="false">
      <c r="A8" s="3" t="s">
        <v>30</v>
      </c>
      <c r="B8" s="11" t="n">
        <v>200</v>
      </c>
      <c r="D8" s="8" t="s">
        <v>31</v>
      </c>
      <c r="E8" s="3" t="s">
        <v>22</v>
      </c>
    </row>
    <row r="9" customFormat="false" ht="15" hidden="false" customHeight="false" outlineLevel="0" collapsed="false">
      <c r="A9" s="3" t="s">
        <v>32</v>
      </c>
      <c r="B9" s="12" t="n">
        <f aca="false">IF(B5="USD",1/B6,1)</f>
        <v>1</v>
      </c>
      <c r="D9" s="8" t="s">
        <v>33</v>
      </c>
      <c r="E9" s="3" t="s">
        <v>34</v>
      </c>
    </row>
    <row r="10" customFormat="false" ht="15" hidden="false" customHeight="false" outlineLevel="0" collapsed="false">
      <c r="A10" s="13" t="s">
        <v>35</v>
      </c>
      <c r="D10" s="8" t="s">
        <v>36</v>
      </c>
      <c r="E10" s="3" t="s">
        <v>34</v>
      </c>
    </row>
    <row r="11" customFormat="false" ht="15" hidden="false" customHeight="false" outlineLevel="0" collapsed="false">
      <c r="D11" s="8" t="s">
        <v>37</v>
      </c>
      <c r="E11" s="3" t="s">
        <v>34</v>
      </c>
    </row>
    <row r="12" customFormat="false" ht="15" hidden="false" customHeight="false" outlineLevel="0" collapsed="false">
      <c r="D12" s="8" t="s">
        <v>38</v>
      </c>
      <c r="E12" s="3" t="s">
        <v>34</v>
      </c>
    </row>
    <row r="13" customFormat="false" ht="15" hidden="false" customHeight="false" outlineLevel="0" collapsed="false">
      <c r="D13" s="8" t="s">
        <v>39</v>
      </c>
      <c r="E13" s="3" t="s">
        <v>34</v>
      </c>
    </row>
    <row r="14" customFormat="false" ht="15" hidden="false" customHeight="false" outlineLevel="0" collapsed="false">
      <c r="D14" s="8" t="s">
        <v>40</v>
      </c>
      <c r="E14" s="3" t="s">
        <v>34</v>
      </c>
    </row>
    <row r="15" customFormat="false" ht="15" hidden="false" customHeight="false" outlineLevel="0" collapsed="false">
      <c r="D15" s="8" t="s">
        <v>41</v>
      </c>
      <c r="E15" s="3" t="s">
        <v>34</v>
      </c>
    </row>
    <row r="16" customFormat="false" ht="15" hidden="false" customHeight="false" outlineLevel="0" collapsed="false">
      <c r="D16" s="8" t="s">
        <v>42</v>
      </c>
      <c r="E16" s="3" t="s">
        <v>34</v>
      </c>
    </row>
    <row r="17" customFormat="false" ht="15" hidden="false" customHeight="false" outlineLevel="0" collapsed="false">
      <c r="D17" s="8" t="s">
        <v>43</v>
      </c>
      <c r="E17" s="3" t="s">
        <v>34</v>
      </c>
    </row>
    <row r="18" customFormat="false" ht="15" hidden="false" customHeight="false" outlineLevel="0" collapsed="false">
      <c r="D18" s="8" t="s">
        <v>44</v>
      </c>
      <c r="E18" s="3" t="s">
        <v>34</v>
      </c>
    </row>
  </sheetData>
  <dataValidations count="1">
    <dataValidation allowBlank="false" errorStyle="stop" operator="between" showDropDown="false" showErrorMessage="false" showInputMessage="false" sqref="B5" type="list">
      <formula1>"GNF,USD"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4" t="s">
        <v>45</v>
      </c>
    </row>
    <row r="2" customFormat="false" ht="15" hidden="false" customHeight="false" outlineLevel="0" collapsed="false">
      <c r="A2" s="13" t="s">
        <v>46</v>
      </c>
    </row>
    <row r="4" customFormat="false" ht="30" hidden="false" customHeight="true" outlineLevel="0" collapsed="false">
      <c r="A4" s="14" t="s">
        <v>47</v>
      </c>
      <c r="B4" s="14" t="s">
        <v>48</v>
      </c>
      <c r="C4" s="14" t="s">
        <v>17</v>
      </c>
      <c r="D4" s="14" t="s">
        <v>49</v>
      </c>
      <c r="E4" s="14" t="s">
        <v>50</v>
      </c>
      <c r="F4" s="14" t="s">
        <v>51</v>
      </c>
      <c r="G4" s="14" t="s">
        <v>52</v>
      </c>
      <c r="H4" s="14" t="s">
        <v>53</v>
      </c>
      <c r="I4" s="14" t="s">
        <v>54</v>
      </c>
    </row>
    <row r="5" customFormat="false" ht="15" hidden="false" customHeight="false" outlineLevel="0" collapsed="false">
      <c r="A5" s="15" t="n">
        <v>46027</v>
      </c>
      <c r="B5" s="16" t="s">
        <v>55</v>
      </c>
      <c r="C5" s="16" t="s">
        <v>22</v>
      </c>
      <c r="D5" s="16" t="s">
        <v>21</v>
      </c>
      <c r="E5" s="16" t="s">
        <v>24</v>
      </c>
      <c r="F5" s="17" t="n">
        <v>12000000</v>
      </c>
      <c r="G5" s="18" t="n">
        <f aca="false">IF(OR(A5="",F5=""),"",IF(E5="USD",F5*Settings!$B$6,F5))</f>
        <v>12000000</v>
      </c>
      <c r="H5" s="19" t="n">
        <f aca="false">IF(OR(A5="",F5=""),"",IF(E5="USD",F5,F5/Settings!$B$6))</f>
        <v>1387.28323699422</v>
      </c>
      <c r="I5" s="20" t="n">
        <f aca="false">IF(A5="","",DATE(YEAR(A5),MONTH(A5),1))</f>
        <v>46023</v>
      </c>
    </row>
    <row r="6" customFormat="false" ht="15" hidden="false" customHeight="false" outlineLevel="0" collapsed="false">
      <c r="A6" s="15" t="n">
        <v>46032</v>
      </c>
      <c r="B6" s="16" t="s">
        <v>56</v>
      </c>
      <c r="C6" s="16" t="s">
        <v>34</v>
      </c>
      <c r="D6" s="16" t="s">
        <v>33</v>
      </c>
      <c r="E6" s="16" t="s">
        <v>24</v>
      </c>
      <c r="F6" s="17" t="n">
        <v>3000000</v>
      </c>
      <c r="G6" s="18" t="n">
        <f aca="false">IF(OR(A6="",F6=""),"",IF(E6="USD",F6*Settings!$B$6,F6))</f>
        <v>3000000</v>
      </c>
      <c r="H6" s="19" t="n">
        <f aca="false">IF(OR(A6="",F6=""),"",IF(E6="USD",F6,F6/Settings!$B$6))</f>
        <v>346.820809248555</v>
      </c>
      <c r="I6" s="20" t="n">
        <f aca="false">IF(A6="","",DATE(YEAR(A6),MONTH(A6),1))</f>
        <v>46023</v>
      </c>
    </row>
    <row r="7" customFormat="false" ht="15" hidden="false" customHeight="false" outlineLevel="0" collapsed="false">
      <c r="A7" s="15" t="n">
        <v>46037</v>
      </c>
      <c r="B7" s="16" t="s">
        <v>57</v>
      </c>
      <c r="C7" s="16" t="s">
        <v>22</v>
      </c>
      <c r="D7" s="16" t="s">
        <v>25</v>
      </c>
      <c r="E7" s="16" t="s">
        <v>58</v>
      </c>
      <c r="F7" s="17" t="n">
        <v>450</v>
      </c>
      <c r="G7" s="18" t="n">
        <f aca="false">IF(OR(A7="",F7=""),"",IF(E7="USD",F7*Settings!$B$6,F7))</f>
        <v>3892500</v>
      </c>
      <c r="H7" s="19" t="n">
        <f aca="false">IF(OR(A7="",F7=""),"",IF(E7="USD",F7,F7/Settings!$B$6))</f>
        <v>450</v>
      </c>
      <c r="I7" s="20" t="n">
        <f aca="false">IF(A7="","",DATE(YEAR(A7),MONTH(A7),1))</f>
        <v>46023</v>
      </c>
    </row>
    <row r="8" customFormat="false" ht="15" hidden="false" customHeight="false" outlineLevel="0" collapsed="false">
      <c r="A8" s="15" t="n">
        <v>46050</v>
      </c>
      <c r="B8" s="16" t="s">
        <v>59</v>
      </c>
      <c r="C8" s="16" t="s">
        <v>34</v>
      </c>
      <c r="D8" s="16" t="s">
        <v>36</v>
      </c>
      <c r="E8" s="16" t="s">
        <v>24</v>
      </c>
      <c r="F8" s="17" t="n">
        <v>4500000</v>
      </c>
      <c r="G8" s="18" t="n">
        <f aca="false">IF(OR(A8="",F8=""),"",IF(E8="USD",F8*Settings!$B$6,F8))</f>
        <v>4500000</v>
      </c>
      <c r="H8" s="19" t="n">
        <f aca="false">IF(OR(A8="",F8=""),"",IF(E8="USD",F8,F8/Settings!$B$6))</f>
        <v>520.231213872832</v>
      </c>
      <c r="I8" s="20" t="n">
        <f aca="false">IF(A8="","",DATE(YEAR(A8),MONTH(A8),1))</f>
        <v>46023</v>
      </c>
    </row>
    <row r="9" customFormat="false" ht="15" hidden="false" customHeight="false" outlineLevel="0" collapsed="false">
      <c r="A9" s="15" t="n">
        <v>46059</v>
      </c>
      <c r="B9" s="16" t="s">
        <v>60</v>
      </c>
      <c r="C9" s="16" t="s">
        <v>22</v>
      </c>
      <c r="D9" s="16" t="s">
        <v>21</v>
      </c>
      <c r="E9" s="16" t="s">
        <v>24</v>
      </c>
      <c r="F9" s="17" t="n">
        <v>14500000</v>
      </c>
      <c r="G9" s="18" t="n">
        <f aca="false">IF(OR(A9="",F9=""),"",IF(E9="USD",F9*Settings!$B$6,F9))</f>
        <v>14500000</v>
      </c>
      <c r="H9" s="19" t="n">
        <f aca="false">IF(OR(A9="",F9=""),"",IF(E9="USD",F9,F9/Settings!$B$6))</f>
        <v>1676.30057803468</v>
      </c>
      <c r="I9" s="20" t="n">
        <f aca="false">IF(A9="","",DATE(YEAR(A9),MONTH(A9),1))</f>
        <v>46054</v>
      </c>
    </row>
    <row r="10" customFormat="false" ht="15" hidden="false" customHeight="false" outlineLevel="0" collapsed="false">
      <c r="A10" s="15" t="n">
        <v>46065</v>
      </c>
      <c r="B10" s="16" t="s">
        <v>61</v>
      </c>
      <c r="C10" s="16" t="s">
        <v>34</v>
      </c>
      <c r="D10" s="16" t="s">
        <v>39</v>
      </c>
      <c r="E10" s="16" t="s">
        <v>58</v>
      </c>
      <c r="F10" s="17" t="n">
        <v>600</v>
      </c>
      <c r="G10" s="18" t="n">
        <f aca="false">IF(OR(A10="",F10=""),"",IF(E10="USD",F10*Settings!$B$6,F10))</f>
        <v>5190000</v>
      </c>
      <c r="H10" s="19" t="n">
        <f aca="false">IF(OR(A10="",F10=""),"",IF(E10="USD",F10,F10/Settings!$B$6))</f>
        <v>600</v>
      </c>
      <c r="I10" s="20" t="n">
        <f aca="false">IF(A10="","",DATE(YEAR(A10),MONTH(A10),1))</f>
        <v>46054</v>
      </c>
    </row>
    <row r="11" customFormat="false" ht="15" hidden="false" customHeight="false" outlineLevel="0" collapsed="false">
      <c r="A11" s="15" t="n">
        <v>46073</v>
      </c>
      <c r="B11" s="16" t="s">
        <v>62</v>
      </c>
      <c r="C11" s="16" t="s">
        <v>34</v>
      </c>
      <c r="D11" s="16" t="s">
        <v>38</v>
      </c>
      <c r="E11" s="16" t="s">
        <v>24</v>
      </c>
      <c r="F11" s="17" t="n">
        <v>650000</v>
      </c>
      <c r="G11" s="18" t="n">
        <f aca="false">IF(OR(A11="",F11=""),"",IF(E11="USD",F11*Settings!$B$6,F11))</f>
        <v>650000</v>
      </c>
      <c r="H11" s="19" t="n">
        <f aca="false">IF(OR(A11="",F11=""),"",IF(E11="USD",F11,F11/Settings!$B$6))</f>
        <v>75.1445086705202</v>
      </c>
      <c r="I11" s="20" t="n">
        <f aca="false">IF(A11="","",DATE(YEAR(A11),MONTH(A11),1))</f>
        <v>46054</v>
      </c>
    </row>
    <row r="12" customFormat="false" ht="15" hidden="false" customHeight="false" outlineLevel="0" collapsed="false">
      <c r="A12" s="15" t="n">
        <v>46085</v>
      </c>
      <c r="B12" s="16" t="s">
        <v>60</v>
      </c>
      <c r="C12" s="16" t="s">
        <v>22</v>
      </c>
      <c r="D12" s="16" t="s">
        <v>21</v>
      </c>
      <c r="E12" s="16" t="s">
        <v>24</v>
      </c>
      <c r="F12" s="17" t="n">
        <v>16000000</v>
      </c>
      <c r="G12" s="18" t="n">
        <f aca="false">IF(OR(A12="",F12=""),"",IF(E12="USD",F12*Settings!$B$6,F12))</f>
        <v>16000000</v>
      </c>
      <c r="H12" s="19" t="n">
        <f aca="false">IF(OR(A12="",F12=""),"",IF(E12="USD",F12,F12/Settings!$B$6))</f>
        <v>1849.71098265896</v>
      </c>
      <c r="I12" s="20" t="n">
        <f aca="false">IF(A12="","",DATE(YEAR(A12),MONTH(A12),1))</f>
        <v>46082</v>
      </c>
    </row>
    <row r="13" customFormat="false" ht="15" hidden="false" customHeight="false" outlineLevel="0" collapsed="false">
      <c r="A13" s="15" t="n">
        <v>46099</v>
      </c>
      <c r="B13" s="16" t="s">
        <v>63</v>
      </c>
      <c r="C13" s="16" t="s">
        <v>34</v>
      </c>
      <c r="D13" s="16" t="s">
        <v>40</v>
      </c>
      <c r="E13" s="16" t="s">
        <v>24</v>
      </c>
      <c r="F13" s="17" t="n">
        <v>800000</v>
      </c>
      <c r="G13" s="18" t="n">
        <f aca="false">IF(OR(A13="",F13=""),"",IF(E13="USD",F13*Settings!$B$6,F13))</f>
        <v>800000</v>
      </c>
      <c r="H13" s="19" t="n">
        <f aca="false">IF(OR(A13="",F13=""),"",IF(E13="USD",F13,F13/Settings!$B$6))</f>
        <v>92.485549132948</v>
      </c>
      <c r="I13" s="20" t="n">
        <f aca="false">IF(A13="","",DATE(YEAR(A13),MONTH(A13),1))</f>
        <v>46082</v>
      </c>
    </row>
    <row r="14" customFormat="false" ht="15" hidden="false" customHeight="false" outlineLevel="0" collapsed="false">
      <c r="A14" s="15" t="n">
        <v>46106</v>
      </c>
      <c r="B14" s="16" t="s">
        <v>64</v>
      </c>
      <c r="C14" s="16" t="s">
        <v>34</v>
      </c>
      <c r="D14" s="16" t="s">
        <v>41</v>
      </c>
      <c r="E14" s="16" t="s">
        <v>24</v>
      </c>
      <c r="F14" s="17" t="n">
        <v>1200000</v>
      </c>
      <c r="G14" s="18" t="n">
        <f aca="false">IF(OR(A14="",F14=""),"",IF(E14="USD",F14*Settings!$B$6,F14))</f>
        <v>1200000</v>
      </c>
      <c r="H14" s="19" t="n">
        <f aca="false">IF(OR(A14="",F14=""),"",IF(E14="USD",F14,F14/Settings!$B$6))</f>
        <v>138.728323699422</v>
      </c>
      <c r="I14" s="20" t="n">
        <f aca="false">IF(A14="","",DATE(YEAR(A14),MONTH(A14),1))</f>
        <v>46082</v>
      </c>
    </row>
    <row r="15" customFormat="false" ht="15" hidden="false" customHeight="false" outlineLevel="0" collapsed="false">
      <c r="A15" s="15" t="n">
        <v>46115</v>
      </c>
      <c r="B15" s="16" t="s">
        <v>65</v>
      </c>
      <c r="C15" s="16" t="s">
        <v>22</v>
      </c>
      <c r="D15" s="16" t="s">
        <v>25</v>
      </c>
      <c r="E15" s="16" t="s">
        <v>58</v>
      </c>
      <c r="F15" s="17" t="n">
        <v>900</v>
      </c>
      <c r="G15" s="18" t="n">
        <f aca="false">IF(OR(A15="",F15=""),"",IF(E15="USD",F15*Settings!$B$6,F15))</f>
        <v>7785000</v>
      </c>
      <c r="H15" s="19" t="n">
        <f aca="false">IF(OR(A15="",F15=""),"",IF(E15="USD",F15,F15/Settings!$B$6))</f>
        <v>900</v>
      </c>
      <c r="I15" s="20" t="n">
        <f aca="false">IF(A15="","",DATE(YEAR(A15),MONTH(A15),1))</f>
        <v>46113</v>
      </c>
    </row>
    <row r="16" customFormat="false" ht="15" hidden="false" customHeight="false" outlineLevel="0" collapsed="false">
      <c r="A16" s="15" t="n">
        <v>46127</v>
      </c>
      <c r="B16" s="16" t="s">
        <v>66</v>
      </c>
      <c r="C16" s="16" t="s">
        <v>34</v>
      </c>
      <c r="D16" s="16" t="s">
        <v>37</v>
      </c>
      <c r="E16" s="16" t="s">
        <v>24</v>
      </c>
      <c r="F16" s="17" t="n">
        <v>450000</v>
      </c>
      <c r="G16" s="18" t="n">
        <f aca="false">IF(OR(A16="",F16=""),"",IF(E16="USD",F16*Settings!$B$6,F16))</f>
        <v>450000</v>
      </c>
      <c r="H16" s="19" t="n">
        <f aca="false">IF(OR(A16="",F16=""),"",IF(E16="USD",F16,F16/Settings!$B$6))</f>
        <v>52.0231213872832</v>
      </c>
      <c r="I16" s="20" t="n">
        <f aca="false">IF(A16="","",DATE(YEAR(A16),MONTH(A16),1))</f>
        <v>46113</v>
      </c>
    </row>
    <row r="17" customFormat="false" ht="15" hidden="false" customHeight="false" outlineLevel="0" collapsed="false">
      <c r="A17" s="15"/>
      <c r="B17" s="16"/>
      <c r="C17" s="16"/>
      <c r="D17" s="16"/>
      <c r="E17" s="16"/>
      <c r="F17" s="17"/>
      <c r="G17" s="18" t="str">
        <f aca="false">IF(OR(A17="",F17=""),"",IF(E17="USD",F17*Settings!$B$6,F17))</f>
        <v/>
      </c>
      <c r="H17" s="19" t="str">
        <f aca="false">IF(OR(A17="",F17=""),"",IF(E17="USD",F17,F17/Settings!$B$6))</f>
        <v/>
      </c>
      <c r="I17" s="20" t="str">
        <f aca="false">IF(A17="","",DATE(YEAR(A17),MONTH(A17),1))</f>
        <v/>
      </c>
    </row>
    <row r="18" customFormat="false" ht="15" hidden="false" customHeight="false" outlineLevel="0" collapsed="false">
      <c r="A18" s="15"/>
      <c r="B18" s="16"/>
      <c r="C18" s="16"/>
      <c r="D18" s="16"/>
      <c r="E18" s="16"/>
      <c r="F18" s="17"/>
      <c r="G18" s="18" t="str">
        <f aca="false">IF(OR(A18="",F18=""),"",IF(E18="USD",F18*Settings!$B$6,F18))</f>
        <v/>
      </c>
      <c r="H18" s="19" t="str">
        <f aca="false">IF(OR(A18="",F18=""),"",IF(E18="USD",F18,F18/Settings!$B$6))</f>
        <v/>
      </c>
      <c r="I18" s="20" t="str">
        <f aca="false">IF(A18="","",DATE(YEAR(A18),MONTH(A18),1))</f>
        <v/>
      </c>
    </row>
    <row r="19" customFormat="false" ht="15" hidden="false" customHeight="false" outlineLevel="0" collapsed="false">
      <c r="A19" s="15"/>
      <c r="B19" s="16"/>
      <c r="C19" s="16"/>
      <c r="D19" s="16"/>
      <c r="E19" s="16"/>
      <c r="F19" s="17"/>
      <c r="G19" s="18" t="str">
        <f aca="false">IF(OR(A19="",F19=""),"",IF(E19="USD",F19*Settings!$B$6,F19))</f>
        <v/>
      </c>
      <c r="H19" s="19" t="str">
        <f aca="false">IF(OR(A19="",F19=""),"",IF(E19="USD",F19,F19/Settings!$B$6))</f>
        <v/>
      </c>
      <c r="I19" s="20" t="str">
        <f aca="false">IF(A19="","",DATE(YEAR(A19),MONTH(A19),1))</f>
        <v/>
      </c>
    </row>
    <row r="20" customFormat="false" ht="15" hidden="false" customHeight="false" outlineLevel="0" collapsed="false">
      <c r="A20" s="15"/>
      <c r="B20" s="16"/>
      <c r="C20" s="16"/>
      <c r="D20" s="16"/>
      <c r="E20" s="16"/>
      <c r="F20" s="17"/>
      <c r="G20" s="18" t="str">
        <f aca="false">IF(OR(A20="",F20=""),"",IF(E20="USD",F20*Settings!$B$6,F20))</f>
        <v/>
      </c>
      <c r="H20" s="19" t="str">
        <f aca="false">IF(OR(A20="",F20=""),"",IF(E20="USD",F20,F20/Settings!$B$6))</f>
        <v/>
      </c>
      <c r="I20" s="20" t="str">
        <f aca="false">IF(A20="","",DATE(YEAR(A20),MONTH(A20),1))</f>
        <v/>
      </c>
    </row>
    <row r="21" customFormat="false" ht="15" hidden="false" customHeight="false" outlineLevel="0" collapsed="false">
      <c r="A21" s="15"/>
      <c r="B21" s="16"/>
      <c r="C21" s="16"/>
      <c r="D21" s="16"/>
      <c r="E21" s="16"/>
      <c r="F21" s="17"/>
      <c r="G21" s="18" t="str">
        <f aca="false">IF(OR(A21="",F21=""),"",IF(E21="USD",F21*Settings!$B$6,F21))</f>
        <v/>
      </c>
      <c r="H21" s="19" t="str">
        <f aca="false">IF(OR(A21="",F21=""),"",IF(E21="USD",F21,F21/Settings!$B$6))</f>
        <v/>
      </c>
      <c r="I21" s="20" t="str">
        <f aca="false">IF(A21="","",DATE(YEAR(A21),MONTH(A21),1))</f>
        <v/>
      </c>
    </row>
    <row r="22" customFormat="false" ht="15" hidden="false" customHeight="false" outlineLevel="0" collapsed="false">
      <c r="A22" s="15"/>
      <c r="B22" s="16"/>
      <c r="C22" s="16"/>
      <c r="D22" s="16"/>
      <c r="E22" s="16"/>
      <c r="F22" s="17"/>
      <c r="G22" s="18" t="str">
        <f aca="false">IF(OR(A22="",F22=""),"",IF(E22="USD",F22*Settings!$B$6,F22))</f>
        <v/>
      </c>
      <c r="H22" s="19" t="str">
        <f aca="false">IF(OR(A22="",F22=""),"",IF(E22="USD",F22,F22/Settings!$B$6))</f>
        <v/>
      </c>
      <c r="I22" s="20" t="str">
        <f aca="false">IF(A22="","",DATE(YEAR(A22),MONTH(A22),1))</f>
        <v/>
      </c>
    </row>
    <row r="23" customFormat="false" ht="15" hidden="false" customHeight="false" outlineLevel="0" collapsed="false">
      <c r="A23" s="15"/>
      <c r="B23" s="16"/>
      <c r="C23" s="16"/>
      <c r="D23" s="16"/>
      <c r="E23" s="16"/>
      <c r="F23" s="17"/>
      <c r="G23" s="18" t="str">
        <f aca="false">IF(OR(A23="",F23=""),"",IF(E23="USD",F23*Settings!$B$6,F23))</f>
        <v/>
      </c>
      <c r="H23" s="19" t="str">
        <f aca="false">IF(OR(A23="",F23=""),"",IF(E23="USD",F23,F23/Settings!$B$6))</f>
        <v/>
      </c>
      <c r="I23" s="20" t="str">
        <f aca="false">IF(A23="","",DATE(YEAR(A23),MONTH(A23),1))</f>
        <v/>
      </c>
    </row>
    <row r="24" customFormat="false" ht="15" hidden="false" customHeight="false" outlineLevel="0" collapsed="false">
      <c r="A24" s="15"/>
      <c r="B24" s="16"/>
      <c r="C24" s="16"/>
      <c r="D24" s="16"/>
      <c r="E24" s="16"/>
      <c r="F24" s="17"/>
      <c r="G24" s="18" t="str">
        <f aca="false">IF(OR(A24="",F24=""),"",IF(E24="USD",F24*Settings!$B$6,F24))</f>
        <v/>
      </c>
      <c r="H24" s="19" t="str">
        <f aca="false">IF(OR(A24="",F24=""),"",IF(E24="USD",F24,F24/Settings!$B$6))</f>
        <v/>
      </c>
      <c r="I24" s="20" t="str">
        <f aca="false">IF(A24="","",DATE(YEAR(A24),MONTH(A24),1))</f>
        <v/>
      </c>
    </row>
    <row r="25" customFormat="false" ht="15" hidden="false" customHeight="false" outlineLevel="0" collapsed="false">
      <c r="A25" s="15"/>
      <c r="B25" s="16"/>
      <c r="C25" s="16"/>
      <c r="D25" s="16"/>
      <c r="E25" s="16"/>
      <c r="F25" s="17"/>
      <c r="G25" s="18" t="str">
        <f aca="false">IF(OR(A25="",F25=""),"",IF(E25="USD",F25*Settings!$B$6,F25))</f>
        <v/>
      </c>
      <c r="H25" s="19" t="str">
        <f aca="false">IF(OR(A25="",F25=""),"",IF(E25="USD",F25,F25/Settings!$B$6))</f>
        <v/>
      </c>
      <c r="I25" s="20" t="str">
        <f aca="false">IF(A25="","",DATE(YEAR(A25),MONTH(A25),1))</f>
        <v/>
      </c>
    </row>
    <row r="26" customFormat="false" ht="15" hidden="false" customHeight="false" outlineLevel="0" collapsed="false">
      <c r="A26" s="15"/>
      <c r="B26" s="16"/>
      <c r="C26" s="16"/>
      <c r="D26" s="16"/>
      <c r="E26" s="16"/>
      <c r="F26" s="17"/>
      <c r="G26" s="18" t="str">
        <f aca="false">IF(OR(A26="",F26=""),"",IF(E26="USD",F26*Settings!$B$6,F26))</f>
        <v/>
      </c>
      <c r="H26" s="19" t="str">
        <f aca="false">IF(OR(A26="",F26=""),"",IF(E26="USD",F26,F26/Settings!$B$6))</f>
        <v/>
      </c>
      <c r="I26" s="20" t="str">
        <f aca="false">IF(A26="","",DATE(YEAR(A26),MONTH(A26),1))</f>
        <v/>
      </c>
    </row>
    <row r="27" customFormat="false" ht="15" hidden="false" customHeight="false" outlineLevel="0" collapsed="false">
      <c r="A27" s="15"/>
      <c r="B27" s="16"/>
      <c r="C27" s="16"/>
      <c r="D27" s="16"/>
      <c r="E27" s="16"/>
      <c r="F27" s="17"/>
      <c r="G27" s="18" t="str">
        <f aca="false">IF(OR(A27="",F27=""),"",IF(E27="USD",F27*Settings!$B$6,F27))</f>
        <v/>
      </c>
      <c r="H27" s="19" t="str">
        <f aca="false">IF(OR(A27="",F27=""),"",IF(E27="USD",F27,F27/Settings!$B$6))</f>
        <v/>
      </c>
      <c r="I27" s="20" t="str">
        <f aca="false">IF(A27="","",DATE(YEAR(A27),MONTH(A27),1))</f>
        <v/>
      </c>
    </row>
    <row r="28" customFormat="false" ht="15" hidden="false" customHeight="false" outlineLevel="0" collapsed="false">
      <c r="A28" s="15"/>
      <c r="B28" s="16"/>
      <c r="C28" s="16"/>
      <c r="D28" s="16"/>
      <c r="E28" s="16"/>
      <c r="F28" s="17"/>
      <c r="G28" s="18" t="str">
        <f aca="false">IF(OR(A28="",F28=""),"",IF(E28="USD",F28*Settings!$B$6,F28))</f>
        <v/>
      </c>
      <c r="H28" s="19" t="str">
        <f aca="false">IF(OR(A28="",F28=""),"",IF(E28="USD",F28,F28/Settings!$B$6))</f>
        <v/>
      </c>
      <c r="I28" s="20" t="str">
        <f aca="false">IF(A28="","",DATE(YEAR(A28),MONTH(A28),1))</f>
        <v/>
      </c>
    </row>
    <row r="29" customFormat="false" ht="15" hidden="false" customHeight="false" outlineLevel="0" collapsed="false">
      <c r="A29" s="15"/>
      <c r="B29" s="16"/>
      <c r="C29" s="16"/>
      <c r="D29" s="16"/>
      <c r="E29" s="16"/>
      <c r="F29" s="17"/>
      <c r="G29" s="18" t="str">
        <f aca="false">IF(OR(A29="",F29=""),"",IF(E29="USD",F29*Settings!$B$6,F29))</f>
        <v/>
      </c>
      <c r="H29" s="19" t="str">
        <f aca="false">IF(OR(A29="",F29=""),"",IF(E29="USD",F29,F29/Settings!$B$6))</f>
        <v/>
      </c>
      <c r="I29" s="20" t="str">
        <f aca="false">IF(A29="","",DATE(YEAR(A29),MONTH(A29),1))</f>
        <v/>
      </c>
    </row>
    <row r="30" customFormat="false" ht="15" hidden="false" customHeight="false" outlineLevel="0" collapsed="false">
      <c r="A30" s="15"/>
      <c r="B30" s="16"/>
      <c r="C30" s="16"/>
      <c r="D30" s="16"/>
      <c r="E30" s="16"/>
      <c r="F30" s="17"/>
      <c r="G30" s="18" t="str">
        <f aca="false">IF(OR(A30="",F30=""),"",IF(E30="USD",F30*Settings!$B$6,F30))</f>
        <v/>
      </c>
      <c r="H30" s="19" t="str">
        <f aca="false">IF(OR(A30="",F30=""),"",IF(E30="USD",F30,F30/Settings!$B$6))</f>
        <v/>
      </c>
      <c r="I30" s="20" t="str">
        <f aca="false">IF(A30="","",DATE(YEAR(A30),MONTH(A30),1))</f>
        <v/>
      </c>
    </row>
    <row r="31" customFormat="false" ht="15" hidden="false" customHeight="false" outlineLevel="0" collapsed="false">
      <c r="A31" s="15"/>
      <c r="B31" s="16"/>
      <c r="C31" s="16"/>
      <c r="D31" s="16"/>
      <c r="E31" s="16"/>
      <c r="F31" s="17"/>
      <c r="G31" s="18" t="str">
        <f aca="false">IF(OR(A31="",F31=""),"",IF(E31="USD",F31*Settings!$B$6,F31))</f>
        <v/>
      </c>
      <c r="H31" s="19" t="str">
        <f aca="false">IF(OR(A31="",F31=""),"",IF(E31="USD",F31,F31/Settings!$B$6))</f>
        <v/>
      </c>
      <c r="I31" s="20" t="str">
        <f aca="false">IF(A31="","",DATE(YEAR(A31),MONTH(A31),1))</f>
        <v/>
      </c>
    </row>
    <row r="32" customFormat="false" ht="15" hidden="false" customHeight="false" outlineLevel="0" collapsed="false">
      <c r="A32" s="15"/>
      <c r="B32" s="16"/>
      <c r="C32" s="16"/>
      <c r="D32" s="16"/>
      <c r="E32" s="16"/>
      <c r="F32" s="17"/>
      <c r="G32" s="18" t="str">
        <f aca="false">IF(OR(A32="",F32=""),"",IF(E32="USD",F32*Settings!$B$6,F32))</f>
        <v/>
      </c>
      <c r="H32" s="19" t="str">
        <f aca="false">IF(OR(A32="",F32=""),"",IF(E32="USD",F32,F32/Settings!$B$6))</f>
        <v/>
      </c>
      <c r="I32" s="20" t="str">
        <f aca="false">IF(A32="","",DATE(YEAR(A32),MONTH(A32),1))</f>
        <v/>
      </c>
    </row>
    <row r="33" customFormat="false" ht="15" hidden="false" customHeight="false" outlineLevel="0" collapsed="false">
      <c r="A33" s="15"/>
      <c r="B33" s="16"/>
      <c r="C33" s="16"/>
      <c r="D33" s="16"/>
      <c r="E33" s="16"/>
      <c r="F33" s="17"/>
      <c r="G33" s="18" t="str">
        <f aca="false">IF(OR(A33="",F33=""),"",IF(E33="USD",F33*Settings!$B$6,F33))</f>
        <v/>
      </c>
      <c r="H33" s="19" t="str">
        <f aca="false">IF(OR(A33="",F33=""),"",IF(E33="USD",F33,F33/Settings!$B$6))</f>
        <v/>
      </c>
      <c r="I33" s="20" t="str">
        <f aca="false">IF(A33="","",DATE(YEAR(A33),MONTH(A33),1))</f>
        <v/>
      </c>
    </row>
    <row r="34" customFormat="false" ht="15" hidden="false" customHeight="false" outlineLevel="0" collapsed="false">
      <c r="A34" s="15"/>
      <c r="B34" s="16"/>
      <c r="C34" s="16"/>
      <c r="D34" s="16"/>
      <c r="E34" s="16"/>
      <c r="F34" s="17"/>
      <c r="G34" s="18" t="str">
        <f aca="false">IF(OR(A34="",F34=""),"",IF(E34="USD",F34*Settings!$B$6,F34))</f>
        <v/>
      </c>
      <c r="H34" s="19" t="str">
        <f aca="false">IF(OR(A34="",F34=""),"",IF(E34="USD",F34,F34/Settings!$B$6))</f>
        <v/>
      </c>
      <c r="I34" s="20" t="str">
        <f aca="false">IF(A34="","",DATE(YEAR(A34),MONTH(A34),1))</f>
        <v/>
      </c>
    </row>
    <row r="35" customFormat="false" ht="15" hidden="false" customHeight="false" outlineLevel="0" collapsed="false">
      <c r="A35" s="15"/>
      <c r="B35" s="16"/>
      <c r="C35" s="16"/>
      <c r="D35" s="16"/>
      <c r="E35" s="16"/>
      <c r="F35" s="17"/>
      <c r="G35" s="18" t="str">
        <f aca="false">IF(OR(A35="",F35=""),"",IF(E35="USD",F35*Settings!$B$6,F35))</f>
        <v/>
      </c>
      <c r="H35" s="19" t="str">
        <f aca="false">IF(OR(A35="",F35=""),"",IF(E35="USD",F35,F35/Settings!$B$6))</f>
        <v/>
      </c>
      <c r="I35" s="20" t="str">
        <f aca="false">IF(A35="","",DATE(YEAR(A35),MONTH(A35),1))</f>
        <v/>
      </c>
    </row>
    <row r="36" customFormat="false" ht="15" hidden="false" customHeight="false" outlineLevel="0" collapsed="false">
      <c r="A36" s="15"/>
      <c r="B36" s="16"/>
      <c r="C36" s="16"/>
      <c r="D36" s="16"/>
      <c r="E36" s="16"/>
      <c r="F36" s="17"/>
      <c r="G36" s="18" t="str">
        <f aca="false">IF(OR(A36="",F36=""),"",IF(E36="USD",F36*Settings!$B$6,F36))</f>
        <v/>
      </c>
      <c r="H36" s="19" t="str">
        <f aca="false">IF(OR(A36="",F36=""),"",IF(E36="USD",F36,F36/Settings!$B$6))</f>
        <v/>
      </c>
      <c r="I36" s="20" t="str">
        <f aca="false">IF(A36="","",DATE(YEAR(A36),MONTH(A36),1))</f>
        <v/>
      </c>
    </row>
    <row r="37" customFormat="false" ht="15" hidden="false" customHeight="false" outlineLevel="0" collapsed="false">
      <c r="A37" s="15"/>
      <c r="B37" s="16"/>
      <c r="C37" s="16"/>
      <c r="D37" s="16"/>
      <c r="E37" s="16"/>
      <c r="F37" s="17"/>
      <c r="G37" s="18" t="str">
        <f aca="false">IF(OR(A37="",F37=""),"",IF(E37="USD",F37*Settings!$B$6,F37))</f>
        <v/>
      </c>
      <c r="H37" s="19" t="str">
        <f aca="false">IF(OR(A37="",F37=""),"",IF(E37="USD",F37,F37/Settings!$B$6))</f>
        <v/>
      </c>
      <c r="I37" s="20" t="str">
        <f aca="false">IF(A37="","",DATE(YEAR(A37),MONTH(A37),1))</f>
        <v/>
      </c>
    </row>
    <row r="38" customFormat="false" ht="15" hidden="false" customHeight="false" outlineLevel="0" collapsed="false">
      <c r="A38" s="15"/>
      <c r="B38" s="16"/>
      <c r="C38" s="16"/>
      <c r="D38" s="16"/>
      <c r="E38" s="16"/>
      <c r="F38" s="17"/>
      <c r="G38" s="18" t="str">
        <f aca="false">IF(OR(A38="",F38=""),"",IF(E38="USD",F38*Settings!$B$6,F38))</f>
        <v/>
      </c>
      <c r="H38" s="19" t="str">
        <f aca="false">IF(OR(A38="",F38=""),"",IF(E38="USD",F38,F38/Settings!$B$6))</f>
        <v/>
      </c>
      <c r="I38" s="20" t="str">
        <f aca="false">IF(A38="","",DATE(YEAR(A38),MONTH(A38),1))</f>
        <v/>
      </c>
    </row>
    <row r="39" customFormat="false" ht="15" hidden="false" customHeight="false" outlineLevel="0" collapsed="false">
      <c r="A39" s="15"/>
      <c r="B39" s="16"/>
      <c r="C39" s="16"/>
      <c r="D39" s="16"/>
      <c r="E39" s="16"/>
      <c r="F39" s="17"/>
      <c r="G39" s="18" t="str">
        <f aca="false">IF(OR(A39="",F39=""),"",IF(E39="USD",F39*Settings!$B$6,F39))</f>
        <v/>
      </c>
      <c r="H39" s="19" t="str">
        <f aca="false">IF(OR(A39="",F39=""),"",IF(E39="USD",F39,F39/Settings!$B$6))</f>
        <v/>
      </c>
      <c r="I39" s="20" t="str">
        <f aca="false">IF(A39="","",DATE(YEAR(A39),MONTH(A39),1))</f>
        <v/>
      </c>
    </row>
    <row r="40" customFormat="false" ht="15" hidden="false" customHeight="false" outlineLevel="0" collapsed="false">
      <c r="A40" s="15"/>
      <c r="B40" s="16"/>
      <c r="C40" s="16"/>
      <c r="D40" s="16"/>
      <c r="E40" s="16"/>
      <c r="F40" s="17"/>
      <c r="G40" s="18" t="str">
        <f aca="false">IF(OR(A40="",F40=""),"",IF(E40="USD",F40*Settings!$B$6,F40))</f>
        <v/>
      </c>
      <c r="H40" s="19" t="str">
        <f aca="false">IF(OR(A40="",F40=""),"",IF(E40="USD",F40,F40/Settings!$B$6))</f>
        <v/>
      </c>
      <c r="I40" s="20" t="str">
        <f aca="false">IF(A40="","",DATE(YEAR(A40),MONTH(A40),1))</f>
        <v/>
      </c>
    </row>
    <row r="41" customFormat="false" ht="15" hidden="false" customHeight="false" outlineLevel="0" collapsed="false">
      <c r="A41" s="15"/>
      <c r="B41" s="16"/>
      <c r="C41" s="16"/>
      <c r="D41" s="16"/>
      <c r="E41" s="16"/>
      <c r="F41" s="17"/>
      <c r="G41" s="18" t="str">
        <f aca="false">IF(OR(A41="",F41=""),"",IF(E41="USD",F41*Settings!$B$6,F41))</f>
        <v/>
      </c>
      <c r="H41" s="19" t="str">
        <f aca="false">IF(OR(A41="",F41=""),"",IF(E41="USD",F41,F41/Settings!$B$6))</f>
        <v/>
      </c>
      <c r="I41" s="20" t="str">
        <f aca="false">IF(A41="","",DATE(YEAR(A41),MONTH(A41),1))</f>
        <v/>
      </c>
    </row>
    <row r="42" customFormat="false" ht="15" hidden="false" customHeight="false" outlineLevel="0" collapsed="false">
      <c r="A42" s="15"/>
      <c r="B42" s="16"/>
      <c r="C42" s="16"/>
      <c r="D42" s="16"/>
      <c r="E42" s="16"/>
      <c r="F42" s="17"/>
      <c r="G42" s="18" t="str">
        <f aca="false">IF(OR(A42="",F42=""),"",IF(E42="USD",F42*Settings!$B$6,F42))</f>
        <v/>
      </c>
      <c r="H42" s="19" t="str">
        <f aca="false">IF(OR(A42="",F42=""),"",IF(E42="USD",F42,F42/Settings!$B$6))</f>
        <v/>
      </c>
      <c r="I42" s="20" t="str">
        <f aca="false">IF(A42="","",DATE(YEAR(A42),MONTH(A42),1))</f>
        <v/>
      </c>
    </row>
    <row r="43" customFormat="false" ht="15" hidden="false" customHeight="false" outlineLevel="0" collapsed="false">
      <c r="A43" s="15"/>
      <c r="B43" s="16"/>
      <c r="C43" s="16"/>
      <c r="D43" s="16"/>
      <c r="E43" s="16"/>
      <c r="F43" s="17"/>
      <c r="G43" s="18" t="str">
        <f aca="false">IF(OR(A43="",F43=""),"",IF(E43="USD",F43*Settings!$B$6,F43))</f>
        <v/>
      </c>
      <c r="H43" s="19" t="str">
        <f aca="false">IF(OR(A43="",F43=""),"",IF(E43="USD",F43,F43/Settings!$B$6))</f>
        <v/>
      </c>
      <c r="I43" s="20" t="str">
        <f aca="false">IF(A43="","",DATE(YEAR(A43),MONTH(A43),1))</f>
        <v/>
      </c>
    </row>
    <row r="44" customFormat="false" ht="15" hidden="false" customHeight="false" outlineLevel="0" collapsed="false">
      <c r="A44" s="15"/>
      <c r="B44" s="16"/>
      <c r="C44" s="16"/>
      <c r="D44" s="16"/>
      <c r="E44" s="16"/>
      <c r="F44" s="17"/>
      <c r="G44" s="18" t="str">
        <f aca="false">IF(OR(A44="",F44=""),"",IF(E44="USD",F44*Settings!$B$6,F44))</f>
        <v/>
      </c>
      <c r="H44" s="19" t="str">
        <f aca="false">IF(OR(A44="",F44=""),"",IF(E44="USD",F44,F44/Settings!$B$6))</f>
        <v/>
      </c>
      <c r="I44" s="20" t="str">
        <f aca="false">IF(A44="","",DATE(YEAR(A44),MONTH(A44),1))</f>
        <v/>
      </c>
    </row>
    <row r="45" customFormat="false" ht="15" hidden="false" customHeight="false" outlineLevel="0" collapsed="false">
      <c r="A45" s="15"/>
      <c r="B45" s="16"/>
      <c r="C45" s="16"/>
      <c r="D45" s="16"/>
      <c r="E45" s="16"/>
      <c r="F45" s="17"/>
      <c r="G45" s="18" t="str">
        <f aca="false">IF(OR(A45="",F45=""),"",IF(E45="USD",F45*Settings!$B$6,F45))</f>
        <v/>
      </c>
      <c r="H45" s="19" t="str">
        <f aca="false">IF(OR(A45="",F45=""),"",IF(E45="USD",F45,F45/Settings!$B$6))</f>
        <v/>
      </c>
      <c r="I45" s="20" t="str">
        <f aca="false">IF(A45="","",DATE(YEAR(A45),MONTH(A45),1))</f>
        <v/>
      </c>
    </row>
    <row r="46" customFormat="false" ht="15" hidden="false" customHeight="false" outlineLevel="0" collapsed="false">
      <c r="A46" s="15"/>
      <c r="B46" s="16"/>
      <c r="C46" s="16"/>
      <c r="D46" s="16"/>
      <c r="E46" s="16"/>
      <c r="F46" s="17"/>
      <c r="G46" s="18" t="str">
        <f aca="false">IF(OR(A46="",F46=""),"",IF(E46="USD",F46*Settings!$B$6,F46))</f>
        <v/>
      </c>
      <c r="H46" s="19" t="str">
        <f aca="false">IF(OR(A46="",F46=""),"",IF(E46="USD",F46,F46/Settings!$B$6))</f>
        <v/>
      </c>
      <c r="I46" s="20" t="str">
        <f aca="false">IF(A46="","",DATE(YEAR(A46),MONTH(A46),1))</f>
        <v/>
      </c>
    </row>
    <row r="47" customFormat="false" ht="15" hidden="false" customHeight="false" outlineLevel="0" collapsed="false">
      <c r="A47" s="15"/>
      <c r="B47" s="16"/>
      <c r="C47" s="16"/>
      <c r="D47" s="16"/>
      <c r="E47" s="16"/>
      <c r="F47" s="17"/>
      <c r="G47" s="18" t="str">
        <f aca="false">IF(OR(A47="",F47=""),"",IF(E47="USD",F47*Settings!$B$6,F47))</f>
        <v/>
      </c>
      <c r="H47" s="19" t="str">
        <f aca="false">IF(OR(A47="",F47=""),"",IF(E47="USD",F47,F47/Settings!$B$6))</f>
        <v/>
      </c>
      <c r="I47" s="20" t="str">
        <f aca="false">IF(A47="","",DATE(YEAR(A47),MONTH(A47),1))</f>
        <v/>
      </c>
    </row>
    <row r="48" customFormat="false" ht="15" hidden="false" customHeight="false" outlineLevel="0" collapsed="false">
      <c r="A48" s="15"/>
      <c r="B48" s="16"/>
      <c r="C48" s="16"/>
      <c r="D48" s="16"/>
      <c r="E48" s="16"/>
      <c r="F48" s="17"/>
      <c r="G48" s="18" t="str">
        <f aca="false">IF(OR(A48="",F48=""),"",IF(E48="USD",F48*Settings!$B$6,F48))</f>
        <v/>
      </c>
      <c r="H48" s="19" t="str">
        <f aca="false">IF(OR(A48="",F48=""),"",IF(E48="USD",F48,F48/Settings!$B$6))</f>
        <v/>
      </c>
      <c r="I48" s="20" t="str">
        <f aca="false">IF(A48="","",DATE(YEAR(A48),MONTH(A48),1))</f>
        <v/>
      </c>
    </row>
    <row r="49" customFormat="false" ht="15" hidden="false" customHeight="false" outlineLevel="0" collapsed="false">
      <c r="A49" s="15"/>
      <c r="B49" s="16"/>
      <c r="C49" s="16"/>
      <c r="D49" s="16"/>
      <c r="E49" s="16"/>
      <c r="F49" s="17"/>
      <c r="G49" s="18" t="str">
        <f aca="false">IF(OR(A49="",F49=""),"",IF(E49="USD",F49*Settings!$B$6,F49))</f>
        <v/>
      </c>
      <c r="H49" s="19" t="str">
        <f aca="false">IF(OR(A49="",F49=""),"",IF(E49="USD",F49,F49/Settings!$B$6))</f>
        <v/>
      </c>
      <c r="I49" s="20" t="str">
        <f aca="false">IF(A49="","",DATE(YEAR(A49),MONTH(A49),1))</f>
        <v/>
      </c>
    </row>
    <row r="50" customFormat="false" ht="15" hidden="false" customHeight="false" outlineLevel="0" collapsed="false">
      <c r="A50" s="15"/>
      <c r="B50" s="16"/>
      <c r="C50" s="16"/>
      <c r="D50" s="16"/>
      <c r="E50" s="16"/>
      <c r="F50" s="17"/>
      <c r="G50" s="18" t="str">
        <f aca="false">IF(OR(A50="",F50=""),"",IF(E50="USD",F50*Settings!$B$6,F50))</f>
        <v/>
      </c>
      <c r="H50" s="19" t="str">
        <f aca="false">IF(OR(A50="",F50=""),"",IF(E50="USD",F50,F50/Settings!$B$6))</f>
        <v/>
      </c>
      <c r="I50" s="20" t="str">
        <f aca="false">IF(A50="","",DATE(YEAR(A50),MONTH(A50),1))</f>
        <v/>
      </c>
    </row>
    <row r="51" customFormat="false" ht="15" hidden="false" customHeight="false" outlineLevel="0" collapsed="false">
      <c r="A51" s="15"/>
      <c r="B51" s="16"/>
      <c r="C51" s="16"/>
      <c r="D51" s="16"/>
      <c r="E51" s="16"/>
      <c r="F51" s="17"/>
      <c r="G51" s="18" t="str">
        <f aca="false">IF(OR(A51="",F51=""),"",IF(E51="USD",F51*Settings!$B$6,F51))</f>
        <v/>
      </c>
      <c r="H51" s="19" t="str">
        <f aca="false">IF(OR(A51="",F51=""),"",IF(E51="USD",F51,F51/Settings!$B$6))</f>
        <v/>
      </c>
      <c r="I51" s="20" t="str">
        <f aca="false">IF(A51="","",DATE(YEAR(A51),MONTH(A51),1))</f>
        <v/>
      </c>
    </row>
    <row r="52" customFormat="false" ht="15" hidden="false" customHeight="false" outlineLevel="0" collapsed="false">
      <c r="A52" s="15"/>
      <c r="B52" s="16"/>
      <c r="C52" s="16"/>
      <c r="D52" s="16"/>
      <c r="E52" s="16"/>
      <c r="F52" s="17"/>
      <c r="G52" s="18" t="str">
        <f aca="false">IF(OR(A52="",F52=""),"",IF(E52="USD",F52*Settings!$B$6,F52))</f>
        <v/>
      </c>
      <c r="H52" s="19" t="str">
        <f aca="false">IF(OR(A52="",F52=""),"",IF(E52="USD",F52,F52/Settings!$B$6))</f>
        <v/>
      </c>
      <c r="I52" s="20" t="str">
        <f aca="false">IF(A52="","",DATE(YEAR(A52),MONTH(A52),1))</f>
        <v/>
      </c>
    </row>
    <row r="53" customFormat="false" ht="15" hidden="false" customHeight="false" outlineLevel="0" collapsed="false">
      <c r="A53" s="15"/>
      <c r="B53" s="16"/>
      <c r="C53" s="16"/>
      <c r="D53" s="16"/>
      <c r="E53" s="16"/>
      <c r="F53" s="17"/>
      <c r="G53" s="18" t="str">
        <f aca="false">IF(OR(A53="",F53=""),"",IF(E53="USD",F53*Settings!$B$6,F53))</f>
        <v/>
      </c>
      <c r="H53" s="19" t="str">
        <f aca="false">IF(OR(A53="",F53=""),"",IF(E53="USD",F53,F53/Settings!$B$6))</f>
        <v/>
      </c>
      <c r="I53" s="20" t="str">
        <f aca="false">IF(A53="","",DATE(YEAR(A53),MONTH(A53),1))</f>
        <v/>
      </c>
    </row>
    <row r="54" customFormat="false" ht="15" hidden="false" customHeight="false" outlineLevel="0" collapsed="false">
      <c r="A54" s="15"/>
      <c r="B54" s="16"/>
      <c r="C54" s="16"/>
      <c r="D54" s="16"/>
      <c r="E54" s="16"/>
      <c r="F54" s="17"/>
      <c r="G54" s="18" t="str">
        <f aca="false">IF(OR(A54="",F54=""),"",IF(E54="USD",F54*Settings!$B$6,F54))</f>
        <v/>
      </c>
      <c r="H54" s="19" t="str">
        <f aca="false">IF(OR(A54="",F54=""),"",IF(E54="USD",F54,F54/Settings!$B$6))</f>
        <v/>
      </c>
      <c r="I54" s="20" t="str">
        <f aca="false">IF(A54="","",DATE(YEAR(A54),MONTH(A54),1))</f>
        <v/>
      </c>
    </row>
    <row r="55" customFormat="false" ht="15" hidden="false" customHeight="false" outlineLevel="0" collapsed="false">
      <c r="A55" s="15"/>
      <c r="B55" s="16"/>
      <c r="C55" s="16"/>
      <c r="D55" s="16"/>
      <c r="E55" s="16"/>
      <c r="F55" s="17"/>
      <c r="G55" s="18" t="str">
        <f aca="false">IF(OR(A55="",F55=""),"",IF(E55="USD",F55*Settings!$B$6,F55))</f>
        <v/>
      </c>
      <c r="H55" s="19" t="str">
        <f aca="false">IF(OR(A55="",F55=""),"",IF(E55="USD",F55,F55/Settings!$B$6))</f>
        <v/>
      </c>
      <c r="I55" s="20" t="str">
        <f aca="false">IF(A55="","",DATE(YEAR(A55),MONTH(A55),1))</f>
        <v/>
      </c>
    </row>
    <row r="56" customFormat="false" ht="15" hidden="false" customHeight="false" outlineLevel="0" collapsed="false">
      <c r="A56" s="15"/>
      <c r="B56" s="16"/>
      <c r="C56" s="16"/>
      <c r="D56" s="16"/>
      <c r="E56" s="16"/>
      <c r="F56" s="17"/>
      <c r="G56" s="18" t="str">
        <f aca="false">IF(OR(A56="",F56=""),"",IF(E56="USD",F56*Settings!$B$6,F56))</f>
        <v/>
      </c>
      <c r="H56" s="19" t="str">
        <f aca="false">IF(OR(A56="",F56=""),"",IF(E56="USD",F56,F56/Settings!$B$6))</f>
        <v/>
      </c>
      <c r="I56" s="20" t="str">
        <f aca="false">IF(A56="","",DATE(YEAR(A56),MONTH(A56),1))</f>
        <v/>
      </c>
    </row>
    <row r="57" customFormat="false" ht="15" hidden="false" customHeight="false" outlineLevel="0" collapsed="false">
      <c r="A57" s="15"/>
      <c r="B57" s="16"/>
      <c r="C57" s="16"/>
      <c r="D57" s="16"/>
      <c r="E57" s="16"/>
      <c r="F57" s="17"/>
      <c r="G57" s="18" t="str">
        <f aca="false">IF(OR(A57="",F57=""),"",IF(E57="USD",F57*Settings!$B$6,F57))</f>
        <v/>
      </c>
      <c r="H57" s="19" t="str">
        <f aca="false">IF(OR(A57="",F57=""),"",IF(E57="USD",F57,F57/Settings!$B$6))</f>
        <v/>
      </c>
      <c r="I57" s="20" t="str">
        <f aca="false">IF(A57="","",DATE(YEAR(A57),MONTH(A57),1))</f>
        <v/>
      </c>
    </row>
    <row r="58" customFormat="false" ht="15" hidden="false" customHeight="false" outlineLevel="0" collapsed="false">
      <c r="A58" s="15"/>
      <c r="B58" s="16"/>
      <c r="C58" s="16"/>
      <c r="D58" s="16"/>
      <c r="E58" s="16"/>
      <c r="F58" s="17"/>
      <c r="G58" s="18" t="str">
        <f aca="false">IF(OR(A58="",F58=""),"",IF(E58="USD",F58*Settings!$B$6,F58))</f>
        <v/>
      </c>
      <c r="H58" s="19" t="str">
        <f aca="false">IF(OR(A58="",F58=""),"",IF(E58="USD",F58,F58/Settings!$B$6))</f>
        <v/>
      </c>
      <c r="I58" s="20" t="str">
        <f aca="false">IF(A58="","",DATE(YEAR(A58),MONTH(A58),1))</f>
        <v/>
      </c>
    </row>
    <row r="59" customFormat="false" ht="15" hidden="false" customHeight="false" outlineLevel="0" collapsed="false">
      <c r="A59" s="15"/>
      <c r="B59" s="16"/>
      <c r="C59" s="16"/>
      <c r="D59" s="16"/>
      <c r="E59" s="16"/>
      <c r="F59" s="17"/>
      <c r="G59" s="18" t="str">
        <f aca="false">IF(OR(A59="",F59=""),"",IF(E59="USD",F59*Settings!$B$6,F59))</f>
        <v/>
      </c>
      <c r="H59" s="19" t="str">
        <f aca="false">IF(OR(A59="",F59=""),"",IF(E59="USD",F59,F59/Settings!$B$6))</f>
        <v/>
      </c>
      <c r="I59" s="20" t="str">
        <f aca="false">IF(A59="","",DATE(YEAR(A59),MONTH(A59),1))</f>
        <v/>
      </c>
    </row>
    <row r="60" customFormat="false" ht="15" hidden="false" customHeight="false" outlineLevel="0" collapsed="false">
      <c r="A60" s="15"/>
      <c r="B60" s="16"/>
      <c r="C60" s="16"/>
      <c r="D60" s="16"/>
      <c r="E60" s="16"/>
      <c r="F60" s="17"/>
      <c r="G60" s="18" t="str">
        <f aca="false">IF(OR(A60="",F60=""),"",IF(E60="USD",F60*Settings!$B$6,F60))</f>
        <v/>
      </c>
      <c r="H60" s="19" t="str">
        <f aca="false">IF(OR(A60="",F60=""),"",IF(E60="USD",F60,F60/Settings!$B$6))</f>
        <v/>
      </c>
      <c r="I60" s="20" t="str">
        <f aca="false">IF(A60="","",DATE(YEAR(A60),MONTH(A60),1))</f>
        <v/>
      </c>
    </row>
    <row r="61" customFormat="false" ht="15" hidden="false" customHeight="false" outlineLevel="0" collapsed="false">
      <c r="A61" s="15"/>
      <c r="B61" s="16"/>
      <c r="C61" s="16"/>
      <c r="D61" s="16"/>
      <c r="E61" s="16"/>
      <c r="F61" s="17"/>
      <c r="G61" s="18" t="str">
        <f aca="false">IF(OR(A61="",F61=""),"",IF(E61="USD",F61*Settings!$B$6,F61))</f>
        <v/>
      </c>
      <c r="H61" s="19" t="str">
        <f aca="false">IF(OR(A61="",F61=""),"",IF(E61="USD",F61,F61/Settings!$B$6))</f>
        <v/>
      </c>
      <c r="I61" s="20" t="str">
        <f aca="false">IF(A61="","",DATE(YEAR(A61),MONTH(A61),1))</f>
        <v/>
      </c>
    </row>
    <row r="62" customFormat="false" ht="15" hidden="false" customHeight="false" outlineLevel="0" collapsed="false">
      <c r="A62" s="15"/>
      <c r="B62" s="16"/>
      <c r="C62" s="16"/>
      <c r="D62" s="16"/>
      <c r="E62" s="16"/>
      <c r="F62" s="17"/>
      <c r="G62" s="18" t="str">
        <f aca="false">IF(OR(A62="",F62=""),"",IF(E62="USD",F62*Settings!$B$6,F62))</f>
        <v/>
      </c>
      <c r="H62" s="19" t="str">
        <f aca="false">IF(OR(A62="",F62=""),"",IF(E62="USD",F62,F62/Settings!$B$6))</f>
        <v/>
      </c>
      <c r="I62" s="20" t="str">
        <f aca="false">IF(A62="","",DATE(YEAR(A62),MONTH(A62),1))</f>
        <v/>
      </c>
    </row>
    <row r="63" customFormat="false" ht="15" hidden="false" customHeight="false" outlineLevel="0" collapsed="false">
      <c r="A63" s="15"/>
      <c r="B63" s="16"/>
      <c r="C63" s="16"/>
      <c r="D63" s="16"/>
      <c r="E63" s="16"/>
      <c r="F63" s="17"/>
      <c r="G63" s="18" t="str">
        <f aca="false">IF(OR(A63="",F63=""),"",IF(E63="USD",F63*Settings!$B$6,F63))</f>
        <v/>
      </c>
      <c r="H63" s="19" t="str">
        <f aca="false">IF(OR(A63="",F63=""),"",IF(E63="USD",F63,F63/Settings!$B$6))</f>
        <v/>
      </c>
      <c r="I63" s="20" t="str">
        <f aca="false">IF(A63="","",DATE(YEAR(A63),MONTH(A63),1))</f>
        <v/>
      </c>
    </row>
    <row r="64" customFormat="false" ht="15" hidden="false" customHeight="false" outlineLevel="0" collapsed="false">
      <c r="A64" s="15"/>
      <c r="B64" s="16"/>
      <c r="C64" s="16"/>
      <c r="D64" s="16"/>
      <c r="E64" s="16"/>
      <c r="F64" s="17"/>
      <c r="G64" s="18" t="str">
        <f aca="false">IF(OR(A64="",F64=""),"",IF(E64="USD",F64*Settings!$B$6,F64))</f>
        <v/>
      </c>
      <c r="H64" s="19" t="str">
        <f aca="false">IF(OR(A64="",F64=""),"",IF(E64="USD",F64,F64/Settings!$B$6))</f>
        <v/>
      </c>
      <c r="I64" s="20" t="str">
        <f aca="false">IF(A64="","",DATE(YEAR(A64),MONTH(A64),1))</f>
        <v/>
      </c>
    </row>
    <row r="65" customFormat="false" ht="15" hidden="false" customHeight="false" outlineLevel="0" collapsed="false">
      <c r="A65" s="15"/>
      <c r="B65" s="16"/>
      <c r="C65" s="16"/>
      <c r="D65" s="16"/>
      <c r="E65" s="16"/>
      <c r="F65" s="17"/>
      <c r="G65" s="18" t="str">
        <f aca="false">IF(OR(A65="",F65=""),"",IF(E65="USD",F65*Settings!$B$6,F65))</f>
        <v/>
      </c>
      <c r="H65" s="19" t="str">
        <f aca="false">IF(OR(A65="",F65=""),"",IF(E65="USD",F65,F65/Settings!$B$6))</f>
        <v/>
      </c>
      <c r="I65" s="20" t="str">
        <f aca="false">IF(A65="","",DATE(YEAR(A65),MONTH(A65),1))</f>
        <v/>
      </c>
    </row>
    <row r="66" customFormat="false" ht="15" hidden="false" customHeight="false" outlineLevel="0" collapsed="false">
      <c r="A66" s="15"/>
      <c r="B66" s="16"/>
      <c r="C66" s="16"/>
      <c r="D66" s="16"/>
      <c r="E66" s="16"/>
      <c r="F66" s="17"/>
      <c r="G66" s="18" t="str">
        <f aca="false">IF(OR(A66="",F66=""),"",IF(E66="USD",F66*Settings!$B$6,F66))</f>
        <v/>
      </c>
      <c r="H66" s="19" t="str">
        <f aca="false">IF(OR(A66="",F66=""),"",IF(E66="USD",F66,F66/Settings!$B$6))</f>
        <v/>
      </c>
      <c r="I66" s="20" t="str">
        <f aca="false">IF(A66="","",DATE(YEAR(A66),MONTH(A66),1))</f>
        <v/>
      </c>
    </row>
    <row r="67" customFormat="false" ht="15" hidden="false" customHeight="false" outlineLevel="0" collapsed="false">
      <c r="A67" s="15"/>
      <c r="B67" s="16"/>
      <c r="C67" s="16"/>
      <c r="D67" s="16"/>
      <c r="E67" s="16"/>
      <c r="F67" s="17"/>
      <c r="G67" s="18" t="str">
        <f aca="false">IF(OR(A67="",F67=""),"",IF(E67="USD",F67*Settings!$B$6,F67))</f>
        <v/>
      </c>
      <c r="H67" s="19" t="str">
        <f aca="false">IF(OR(A67="",F67=""),"",IF(E67="USD",F67,F67/Settings!$B$6))</f>
        <v/>
      </c>
      <c r="I67" s="20" t="str">
        <f aca="false">IF(A67="","",DATE(YEAR(A67),MONTH(A67),1))</f>
        <v/>
      </c>
    </row>
    <row r="68" customFormat="false" ht="15" hidden="false" customHeight="false" outlineLevel="0" collapsed="false">
      <c r="A68" s="15"/>
      <c r="B68" s="16"/>
      <c r="C68" s="16"/>
      <c r="D68" s="16"/>
      <c r="E68" s="16"/>
      <c r="F68" s="17"/>
      <c r="G68" s="18" t="str">
        <f aca="false">IF(OR(A68="",F68=""),"",IF(E68="USD",F68*Settings!$B$6,F68))</f>
        <v/>
      </c>
      <c r="H68" s="19" t="str">
        <f aca="false">IF(OR(A68="",F68=""),"",IF(E68="USD",F68,F68/Settings!$B$6))</f>
        <v/>
      </c>
      <c r="I68" s="20" t="str">
        <f aca="false">IF(A68="","",DATE(YEAR(A68),MONTH(A68),1))</f>
        <v/>
      </c>
    </row>
    <row r="69" customFormat="false" ht="15" hidden="false" customHeight="false" outlineLevel="0" collapsed="false">
      <c r="A69" s="15"/>
      <c r="B69" s="16"/>
      <c r="C69" s="16"/>
      <c r="D69" s="16"/>
      <c r="E69" s="16"/>
      <c r="F69" s="17"/>
      <c r="G69" s="18" t="str">
        <f aca="false">IF(OR(A69="",F69=""),"",IF(E69="USD",F69*Settings!$B$6,F69))</f>
        <v/>
      </c>
      <c r="H69" s="19" t="str">
        <f aca="false">IF(OR(A69="",F69=""),"",IF(E69="USD",F69,F69/Settings!$B$6))</f>
        <v/>
      </c>
      <c r="I69" s="20" t="str">
        <f aca="false">IF(A69="","",DATE(YEAR(A69),MONTH(A69),1))</f>
        <v/>
      </c>
    </row>
    <row r="70" customFormat="false" ht="15" hidden="false" customHeight="false" outlineLevel="0" collapsed="false">
      <c r="A70" s="15"/>
      <c r="B70" s="16"/>
      <c r="C70" s="16"/>
      <c r="D70" s="16"/>
      <c r="E70" s="16"/>
      <c r="F70" s="17"/>
      <c r="G70" s="18" t="str">
        <f aca="false">IF(OR(A70="",F70=""),"",IF(E70="USD",F70*Settings!$B$6,F70))</f>
        <v/>
      </c>
      <c r="H70" s="19" t="str">
        <f aca="false">IF(OR(A70="",F70=""),"",IF(E70="USD",F70,F70/Settings!$B$6))</f>
        <v/>
      </c>
      <c r="I70" s="20" t="str">
        <f aca="false">IF(A70="","",DATE(YEAR(A70),MONTH(A70),1))</f>
        <v/>
      </c>
    </row>
    <row r="71" customFormat="false" ht="15" hidden="false" customHeight="false" outlineLevel="0" collapsed="false">
      <c r="A71" s="15"/>
      <c r="B71" s="16"/>
      <c r="C71" s="16"/>
      <c r="D71" s="16"/>
      <c r="E71" s="16"/>
      <c r="F71" s="17"/>
      <c r="G71" s="18" t="str">
        <f aca="false">IF(OR(A71="",F71=""),"",IF(E71="USD",F71*Settings!$B$6,F71))</f>
        <v/>
      </c>
      <c r="H71" s="19" t="str">
        <f aca="false">IF(OR(A71="",F71=""),"",IF(E71="USD",F71,F71/Settings!$B$6))</f>
        <v/>
      </c>
      <c r="I71" s="20" t="str">
        <f aca="false">IF(A71="","",DATE(YEAR(A71),MONTH(A71),1))</f>
        <v/>
      </c>
    </row>
    <row r="72" customFormat="false" ht="15" hidden="false" customHeight="false" outlineLevel="0" collapsed="false">
      <c r="A72" s="15"/>
      <c r="B72" s="16"/>
      <c r="C72" s="16"/>
      <c r="D72" s="16"/>
      <c r="E72" s="16"/>
      <c r="F72" s="17"/>
      <c r="G72" s="18" t="str">
        <f aca="false">IF(OR(A72="",F72=""),"",IF(E72="USD",F72*Settings!$B$6,F72))</f>
        <v/>
      </c>
      <c r="H72" s="19" t="str">
        <f aca="false">IF(OR(A72="",F72=""),"",IF(E72="USD",F72,F72/Settings!$B$6))</f>
        <v/>
      </c>
      <c r="I72" s="20" t="str">
        <f aca="false">IF(A72="","",DATE(YEAR(A72),MONTH(A72),1))</f>
        <v/>
      </c>
    </row>
    <row r="73" customFormat="false" ht="15" hidden="false" customHeight="false" outlineLevel="0" collapsed="false">
      <c r="A73" s="15"/>
      <c r="B73" s="16"/>
      <c r="C73" s="16"/>
      <c r="D73" s="16"/>
      <c r="E73" s="16"/>
      <c r="F73" s="17"/>
      <c r="G73" s="18" t="str">
        <f aca="false">IF(OR(A73="",F73=""),"",IF(E73="USD",F73*Settings!$B$6,F73))</f>
        <v/>
      </c>
      <c r="H73" s="19" t="str">
        <f aca="false">IF(OR(A73="",F73=""),"",IF(E73="USD",F73,F73/Settings!$B$6))</f>
        <v/>
      </c>
      <c r="I73" s="20" t="str">
        <f aca="false">IF(A73="","",DATE(YEAR(A73),MONTH(A73),1))</f>
        <v/>
      </c>
    </row>
    <row r="74" customFormat="false" ht="15" hidden="false" customHeight="false" outlineLevel="0" collapsed="false">
      <c r="A74" s="15"/>
      <c r="B74" s="16"/>
      <c r="C74" s="16"/>
      <c r="D74" s="16"/>
      <c r="E74" s="16"/>
      <c r="F74" s="17"/>
      <c r="G74" s="18" t="str">
        <f aca="false">IF(OR(A74="",F74=""),"",IF(E74="USD",F74*Settings!$B$6,F74))</f>
        <v/>
      </c>
      <c r="H74" s="19" t="str">
        <f aca="false">IF(OR(A74="",F74=""),"",IF(E74="USD",F74,F74/Settings!$B$6))</f>
        <v/>
      </c>
      <c r="I74" s="20" t="str">
        <f aca="false">IF(A74="","",DATE(YEAR(A74),MONTH(A74),1))</f>
        <v/>
      </c>
    </row>
    <row r="75" customFormat="false" ht="15" hidden="false" customHeight="false" outlineLevel="0" collapsed="false">
      <c r="A75" s="15"/>
      <c r="B75" s="16"/>
      <c r="C75" s="16"/>
      <c r="D75" s="16"/>
      <c r="E75" s="16"/>
      <c r="F75" s="17"/>
      <c r="G75" s="18" t="str">
        <f aca="false">IF(OR(A75="",F75=""),"",IF(E75="USD",F75*Settings!$B$6,F75))</f>
        <v/>
      </c>
      <c r="H75" s="19" t="str">
        <f aca="false">IF(OR(A75="",F75=""),"",IF(E75="USD",F75,F75/Settings!$B$6))</f>
        <v/>
      </c>
      <c r="I75" s="20" t="str">
        <f aca="false">IF(A75="","",DATE(YEAR(A75),MONTH(A75),1))</f>
        <v/>
      </c>
    </row>
    <row r="76" customFormat="false" ht="15" hidden="false" customHeight="false" outlineLevel="0" collapsed="false">
      <c r="A76" s="15"/>
      <c r="B76" s="16"/>
      <c r="C76" s="16"/>
      <c r="D76" s="16"/>
      <c r="E76" s="16"/>
      <c r="F76" s="17"/>
      <c r="G76" s="18" t="str">
        <f aca="false">IF(OR(A76="",F76=""),"",IF(E76="USD",F76*Settings!$B$6,F76))</f>
        <v/>
      </c>
      <c r="H76" s="19" t="str">
        <f aca="false">IF(OR(A76="",F76=""),"",IF(E76="USD",F76,F76/Settings!$B$6))</f>
        <v/>
      </c>
      <c r="I76" s="20" t="str">
        <f aca="false">IF(A76="","",DATE(YEAR(A76),MONTH(A76),1))</f>
        <v/>
      </c>
    </row>
    <row r="77" customFormat="false" ht="15" hidden="false" customHeight="false" outlineLevel="0" collapsed="false">
      <c r="A77" s="15"/>
      <c r="B77" s="16"/>
      <c r="C77" s="16"/>
      <c r="D77" s="16"/>
      <c r="E77" s="16"/>
      <c r="F77" s="17"/>
      <c r="G77" s="18" t="str">
        <f aca="false">IF(OR(A77="",F77=""),"",IF(E77="USD",F77*Settings!$B$6,F77))</f>
        <v/>
      </c>
      <c r="H77" s="19" t="str">
        <f aca="false">IF(OR(A77="",F77=""),"",IF(E77="USD",F77,F77/Settings!$B$6))</f>
        <v/>
      </c>
      <c r="I77" s="20" t="str">
        <f aca="false">IF(A77="","",DATE(YEAR(A77),MONTH(A77),1))</f>
        <v/>
      </c>
    </row>
    <row r="78" customFormat="false" ht="15" hidden="false" customHeight="false" outlineLevel="0" collapsed="false">
      <c r="A78" s="15"/>
      <c r="B78" s="16"/>
      <c r="C78" s="16"/>
      <c r="D78" s="16"/>
      <c r="E78" s="16"/>
      <c r="F78" s="17"/>
      <c r="G78" s="18" t="str">
        <f aca="false">IF(OR(A78="",F78=""),"",IF(E78="USD",F78*Settings!$B$6,F78))</f>
        <v/>
      </c>
      <c r="H78" s="19" t="str">
        <f aca="false">IF(OR(A78="",F78=""),"",IF(E78="USD",F78,F78/Settings!$B$6))</f>
        <v/>
      </c>
      <c r="I78" s="20" t="str">
        <f aca="false">IF(A78="","",DATE(YEAR(A78),MONTH(A78),1))</f>
        <v/>
      </c>
    </row>
    <row r="79" customFormat="false" ht="15" hidden="false" customHeight="false" outlineLevel="0" collapsed="false">
      <c r="A79" s="15"/>
      <c r="B79" s="16"/>
      <c r="C79" s="16"/>
      <c r="D79" s="16"/>
      <c r="E79" s="16"/>
      <c r="F79" s="17"/>
      <c r="G79" s="18" t="str">
        <f aca="false">IF(OR(A79="",F79=""),"",IF(E79="USD",F79*Settings!$B$6,F79))</f>
        <v/>
      </c>
      <c r="H79" s="19" t="str">
        <f aca="false">IF(OR(A79="",F79=""),"",IF(E79="USD",F79,F79/Settings!$B$6))</f>
        <v/>
      </c>
      <c r="I79" s="20" t="str">
        <f aca="false">IF(A79="","",DATE(YEAR(A79),MONTH(A79),1))</f>
        <v/>
      </c>
    </row>
    <row r="80" customFormat="false" ht="15" hidden="false" customHeight="false" outlineLevel="0" collapsed="false">
      <c r="A80" s="15"/>
      <c r="B80" s="16"/>
      <c r="C80" s="16"/>
      <c r="D80" s="16"/>
      <c r="E80" s="16"/>
      <c r="F80" s="17"/>
      <c r="G80" s="18" t="str">
        <f aca="false">IF(OR(A80="",F80=""),"",IF(E80="USD",F80*Settings!$B$6,F80))</f>
        <v/>
      </c>
      <c r="H80" s="19" t="str">
        <f aca="false">IF(OR(A80="",F80=""),"",IF(E80="USD",F80,F80/Settings!$B$6))</f>
        <v/>
      </c>
      <c r="I80" s="20" t="str">
        <f aca="false">IF(A80="","",DATE(YEAR(A80),MONTH(A80),1))</f>
        <v/>
      </c>
    </row>
    <row r="81" customFormat="false" ht="15" hidden="false" customHeight="false" outlineLevel="0" collapsed="false">
      <c r="A81" s="15"/>
      <c r="B81" s="16"/>
      <c r="C81" s="16"/>
      <c r="D81" s="16"/>
      <c r="E81" s="16"/>
      <c r="F81" s="17"/>
      <c r="G81" s="18" t="str">
        <f aca="false">IF(OR(A81="",F81=""),"",IF(E81="USD",F81*Settings!$B$6,F81))</f>
        <v/>
      </c>
      <c r="H81" s="19" t="str">
        <f aca="false">IF(OR(A81="",F81=""),"",IF(E81="USD",F81,F81/Settings!$B$6))</f>
        <v/>
      </c>
      <c r="I81" s="20" t="str">
        <f aca="false">IF(A81="","",DATE(YEAR(A81),MONTH(A81),1))</f>
        <v/>
      </c>
    </row>
    <row r="82" customFormat="false" ht="15" hidden="false" customHeight="false" outlineLevel="0" collapsed="false">
      <c r="A82" s="15"/>
      <c r="B82" s="16"/>
      <c r="C82" s="16"/>
      <c r="D82" s="16"/>
      <c r="E82" s="16"/>
      <c r="F82" s="17"/>
      <c r="G82" s="18" t="str">
        <f aca="false">IF(OR(A82="",F82=""),"",IF(E82="USD",F82*Settings!$B$6,F82))</f>
        <v/>
      </c>
      <c r="H82" s="19" t="str">
        <f aca="false">IF(OR(A82="",F82=""),"",IF(E82="USD",F82,F82/Settings!$B$6))</f>
        <v/>
      </c>
      <c r="I82" s="20" t="str">
        <f aca="false">IF(A82="","",DATE(YEAR(A82),MONTH(A82),1))</f>
        <v/>
      </c>
    </row>
    <row r="83" customFormat="false" ht="15" hidden="false" customHeight="false" outlineLevel="0" collapsed="false">
      <c r="A83" s="15"/>
      <c r="B83" s="16"/>
      <c r="C83" s="16"/>
      <c r="D83" s="16"/>
      <c r="E83" s="16"/>
      <c r="F83" s="17"/>
      <c r="G83" s="18" t="str">
        <f aca="false">IF(OR(A83="",F83=""),"",IF(E83="USD",F83*Settings!$B$6,F83))</f>
        <v/>
      </c>
      <c r="H83" s="19" t="str">
        <f aca="false">IF(OR(A83="",F83=""),"",IF(E83="USD",F83,F83/Settings!$B$6))</f>
        <v/>
      </c>
      <c r="I83" s="20" t="str">
        <f aca="false">IF(A83="","",DATE(YEAR(A83),MONTH(A83),1))</f>
        <v/>
      </c>
    </row>
    <row r="84" customFormat="false" ht="15" hidden="false" customHeight="false" outlineLevel="0" collapsed="false">
      <c r="A84" s="15"/>
      <c r="B84" s="16"/>
      <c r="C84" s="16"/>
      <c r="D84" s="16"/>
      <c r="E84" s="16"/>
      <c r="F84" s="17"/>
      <c r="G84" s="18" t="str">
        <f aca="false">IF(OR(A84="",F84=""),"",IF(E84="USD",F84*Settings!$B$6,F84))</f>
        <v/>
      </c>
      <c r="H84" s="19" t="str">
        <f aca="false">IF(OR(A84="",F84=""),"",IF(E84="USD",F84,F84/Settings!$B$6))</f>
        <v/>
      </c>
      <c r="I84" s="20" t="str">
        <f aca="false">IF(A84="","",DATE(YEAR(A84),MONTH(A84),1))</f>
        <v/>
      </c>
    </row>
    <row r="85" customFormat="false" ht="15" hidden="false" customHeight="false" outlineLevel="0" collapsed="false">
      <c r="A85" s="15"/>
      <c r="B85" s="16"/>
      <c r="C85" s="16"/>
      <c r="D85" s="16"/>
      <c r="E85" s="16"/>
      <c r="F85" s="17"/>
      <c r="G85" s="18" t="str">
        <f aca="false">IF(OR(A85="",F85=""),"",IF(E85="USD",F85*Settings!$B$6,F85))</f>
        <v/>
      </c>
      <c r="H85" s="19" t="str">
        <f aca="false">IF(OR(A85="",F85=""),"",IF(E85="USD",F85,F85/Settings!$B$6))</f>
        <v/>
      </c>
      <c r="I85" s="20" t="str">
        <f aca="false">IF(A85="","",DATE(YEAR(A85),MONTH(A85),1))</f>
        <v/>
      </c>
    </row>
    <row r="86" customFormat="false" ht="15" hidden="false" customHeight="false" outlineLevel="0" collapsed="false">
      <c r="A86" s="15"/>
      <c r="B86" s="16"/>
      <c r="C86" s="16"/>
      <c r="D86" s="16"/>
      <c r="E86" s="16"/>
      <c r="F86" s="17"/>
      <c r="G86" s="18" t="str">
        <f aca="false">IF(OR(A86="",F86=""),"",IF(E86="USD",F86*Settings!$B$6,F86))</f>
        <v/>
      </c>
      <c r="H86" s="19" t="str">
        <f aca="false">IF(OR(A86="",F86=""),"",IF(E86="USD",F86,F86/Settings!$B$6))</f>
        <v/>
      </c>
      <c r="I86" s="20" t="str">
        <f aca="false">IF(A86="","",DATE(YEAR(A86),MONTH(A86),1))</f>
        <v/>
      </c>
    </row>
    <row r="87" customFormat="false" ht="15" hidden="false" customHeight="false" outlineLevel="0" collapsed="false">
      <c r="A87" s="15"/>
      <c r="B87" s="16"/>
      <c r="C87" s="16"/>
      <c r="D87" s="16"/>
      <c r="E87" s="16"/>
      <c r="F87" s="17"/>
      <c r="G87" s="18" t="str">
        <f aca="false">IF(OR(A87="",F87=""),"",IF(E87="USD",F87*Settings!$B$6,F87))</f>
        <v/>
      </c>
      <c r="H87" s="19" t="str">
        <f aca="false">IF(OR(A87="",F87=""),"",IF(E87="USD",F87,F87/Settings!$B$6))</f>
        <v/>
      </c>
      <c r="I87" s="20" t="str">
        <f aca="false">IF(A87="","",DATE(YEAR(A87),MONTH(A87),1))</f>
        <v/>
      </c>
    </row>
    <row r="88" customFormat="false" ht="15" hidden="false" customHeight="false" outlineLevel="0" collapsed="false">
      <c r="A88" s="15"/>
      <c r="B88" s="16"/>
      <c r="C88" s="16"/>
      <c r="D88" s="16"/>
      <c r="E88" s="16"/>
      <c r="F88" s="17"/>
      <c r="G88" s="18" t="str">
        <f aca="false">IF(OR(A88="",F88=""),"",IF(E88="USD",F88*Settings!$B$6,F88))</f>
        <v/>
      </c>
      <c r="H88" s="19" t="str">
        <f aca="false">IF(OR(A88="",F88=""),"",IF(E88="USD",F88,F88/Settings!$B$6))</f>
        <v/>
      </c>
      <c r="I88" s="20" t="str">
        <f aca="false">IF(A88="","",DATE(YEAR(A88),MONTH(A88),1))</f>
        <v/>
      </c>
    </row>
    <row r="89" customFormat="false" ht="15" hidden="false" customHeight="false" outlineLevel="0" collapsed="false">
      <c r="A89" s="15"/>
      <c r="B89" s="16"/>
      <c r="C89" s="16"/>
      <c r="D89" s="16"/>
      <c r="E89" s="16"/>
      <c r="F89" s="17"/>
      <c r="G89" s="18" t="str">
        <f aca="false">IF(OR(A89="",F89=""),"",IF(E89="USD",F89*Settings!$B$6,F89))</f>
        <v/>
      </c>
      <c r="H89" s="19" t="str">
        <f aca="false">IF(OR(A89="",F89=""),"",IF(E89="USD",F89,F89/Settings!$B$6))</f>
        <v/>
      </c>
      <c r="I89" s="20" t="str">
        <f aca="false">IF(A89="","",DATE(YEAR(A89),MONTH(A89),1))</f>
        <v/>
      </c>
    </row>
    <row r="90" customFormat="false" ht="15" hidden="false" customHeight="false" outlineLevel="0" collapsed="false">
      <c r="A90" s="15"/>
      <c r="B90" s="16"/>
      <c r="C90" s="16"/>
      <c r="D90" s="16"/>
      <c r="E90" s="16"/>
      <c r="F90" s="17"/>
      <c r="G90" s="18" t="str">
        <f aca="false">IF(OR(A90="",F90=""),"",IF(E90="USD",F90*Settings!$B$6,F90))</f>
        <v/>
      </c>
      <c r="H90" s="19" t="str">
        <f aca="false">IF(OR(A90="",F90=""),"",IF(E90="USD",F90,F90/Settings!$B$6))</f>
        <v/>
      </c>
      <c r="I90" s="20" t="str">
        <f aca="false">IF(A90="","",DATE(YEAR(A90),MONTH(A90),1))</f>
        <v/>
      </c>
    </row>
    <row r="91" customFormat="false" ht="15" hidden="false" customHeight="false" outlineLevel="0" collapsed="false">
      <c r="A91" s="15"/>
      <c r="B91" s="16"/>
      <c r="C91" s="16"/>
      <c r="D91" s="16"/>
      <c r="E91" s="16"/>
      <c r="F91" s="17"/>
      <c r="G91" s="18" t="str">
        <f aca="false">IF(OR(A91="",F91=""),"",IF(E91="USD",F91*Settings!$B$6,F91))</f>
        <v/>
      </c>
      <c r="H91" s="19" t="str">
        <f aca="false">IF(OR(A91="",F91=""),"",IF(E91="USD",F91,F91/Settings!$B$6))</f>
        <v/>
      </c>
      <c r="I91" s="20" t="str">
        <f aca="false">IF(A91="","",DATE(YEAR(A91),MONTH(A91),1))</f>
        <v/>
      </c>
    </row>
    <row r="92" customFormat="false" ht="15" hidden="false" customHeight="false" outlineLevel="0" collapsed="false">
      <c r="A92" s="15"/>
      <c r="B92" s="16"/>
      <c r="C92" s="16"/>
      <c r="D92" s="16"/>
      <c r="E92" s="16"/>
      <c r="F92" s="17"/>
      <c r="G92" s="18" t="str">
        <f aca="false">IF(OR(A92="",F92=""),"",IF(E92="USD",F92*Settings!$B$6,F92))</f>
        <v/>
      </c>
      <c r="H92" s="19" t="str">
        <f aca="false">IF(OR(A92="",F92=""),"",IF(E92="USD",F92,F92/Settings!$B$6))</f>
        <v/>
      </c>
      <c r="I92" s="20" t="str">
        <f aca="false">IF(A92="","",DATE(YEAR(A92),MONTH(A92),1))</f>
        <v/>
      </c>
    </row>
    <row r="93" customFormat="false" ht="15" hidden="false" customHeight="false" outlineLevel="0" collapsed="false">
      <c r="A93" s="15"/>
      <c r="B93" s="16"/>
      <c r="C93" s="16"/>
      <c r="D93" s="16"/>
      <c r="E93" s="16"/>
      <c r="F93" s="17"/>
      <c r="G93" s="18" t="str">
        <f aca="false">IF(OR(A93="",F93=""),"",IF(E93="USD",F93*Settings!$B$6,F93))</f>
        <v/>
      </c>
      <c r="H93" s="19" t="str">
        <f aca="false">IF(OR(A93="",F93=""),"",IF(E93="USD",F93,F93/Settings!$B$6))</f>
        <v/>
      </c>
      <c r="I93" s="20" t="str">
        <f aca="false">IF(A93="","",DATE(YEAR(A93),MONTH(A93),1))</f>
        <v/>
      </c>
    </row>
    <row r="94" customFormat="false" ht="15" hidden="false" customHeight="false" outlineLevel="0" collapsed="false">
      <c r="A94" s="15"/>
      <c r="B94" s="16"/>
      <c r="C94" s="16"/>
      <c r="D94" s="16"/>
      <c r="E94" s="16"/>
      <c r="F94" s="17"/>
      <c r="G94" s="18" t="str">
        <f aca="false">IF(OR(A94="",F94=""),"",IF(E94="USD",F94*Settings!$B$6,F94))</f>
        <v/>
      </c>
      <c r="H94" s="19" t="str">
        <f aca="false">IF(OR(A94="",F94=""),"",IF(E94="USD",F94,F94/Settings!$B$6))</f>
        <v/>
      </c>
      <c r="I94" s="20" t="str">
        <f aca="false">IF(A94="","",DATE(YEAR(A94),MONTH(A94),1))</f>
        <v/>
      </c>
    </row>
    <row r="95" customFormat="false" ht="15" hidden="false" customHeight="false" outlineLevel="0" collapsed="false">
      <c r="A95" s="15"/>
      <c r="B95" s="16"/>
      <c r="C95" s="16"/>
      <c r="D95" s="16"/>
      <c r="E95" s="16"/>
      <c r="F95" s="17"/>
      <c r="G95" s="18" t="str">
        <f aca="false">IF(OR(A95="",F95=""),"",IF(E95="USD",F95*Settings!$B$6,F95))</f>
        <v/>
      </c>
      <c r="H95" s="19" t="str">
        <f aca="false">IF(OR(A95="",F95=""),"",IF(E95="USD",F95,F95/Settings!$B$6))</f>
        <v/>
      </c>
      <c r="I95" s="20" t="str">
        <f aca="false">IF(A95="","",DATE(YEAR(A95),MONTH(A95),1))</f>
        <v/>
      </c>
    </row>
    <row r="96" customFormat="false" ht="15" hidden="false" customHeight="false" outlineLevel="0" collapsed="false">
      <c r="A96" s="15"/>
      <c r="B96" s="16"/>
      <c r="C96" s="16"/>
      <c r="D96" s="16"/>
      <c r="E96" s="16"/>
      <c r="F96" s="17"/>
      <c r="G96" s="18" t="str">
        <f aca="false">IF(OR(A96="",F96=""),"",IF(E96="USD",F96*Settings!$B$6,F96))</f>
        <v/>
      </c>
      <c r="H96" s="19" t="str">
        <f aca="false">IF(OR(A96="",F96=""),"",IF(E96="USD",F96,F96/Settings!$B$6))</f>
        <v/>
      </c>
      <c r="I96" s="20" t="str">
        <f aca="false">IF(A96="","",DATE(YEAR(A96),MONTH(A96),1))</f>
        <v/>
      </c>
    </row>
    <row r="97" customFormat="false" ht="15" hidden="false" customHeight="false" outlineLevel="0" collapsed="false">
      <c r="A97" s="15"/>
      <c r="B97" s="16"/>
      <c r="C97" s="16"/>
      <c r="D97" s="16"/>
      <c r="E97" s="16"/>
      <c r="F97" s="17"/>
      <c r="G97" s="18" t="str">
        <f aca="false">IF(OR(A97="",F97=""),"",IF(E97="USD",F97*Settings!$B$6,F97))</f>
        <v/>
      </c>
      <c r="H97" s="19" t="str">
        <f aca="false">IF(OR(A97="",F97=""),"",IF(E97="USD",F97,F97/Settings!$B$6))</f>
        <v/>
      </c>
      <c r="I97" s="20" t="str">
        <f aca="false">IF(A97="","",DATE(YEAR(A97),MONTH(A97),1))</f>
        <v/>
      </c>
    </row>
    <row r="98" customFormat="false" ht="15" hidden="false" customHeight="false" outlineLevel="0" collapsed="false">
      <c r="A98" s="15"/>
      <c r="B98" s="16"/>
      <c r="C98" s="16"/>
      <c r="D98" s="16"/>
      <c r="E98" s="16"/>
      <c r="F98" s="17"/>
      <c r="G98" s="18" t="str">
        <f aca="false">IF(OR(A98="",F98=""),"",IF(E98="USD",F98*Settings!$B$6,F98))</f>
        <v/>
      </c>
      <c r="H98" s="19" t="str">
        <f aca="false">IF(OR(A98="",F98=""),"",IF(E98="USD",F98,F98/Settings!$B$6))</f>
        <v/>
      </c>
      <c r="I98" s="20" t="str">
        <f aca="false">IF(A98="","",DATE(YEAR(A98),MONTH(A98),1))</f>
        <v/>
      </c>
    </row>
    <row r="99" customFormat="false" ht="15" hidden="false" customHeight="false" outlineLevel="0" collapsed="false">
      <c r="A99" s="15"/>
      <c r="B99" s="16"/>
      <c r="C99" s="16"/>
      <c r="D99" s="16"/>
      <c r="E99" s="16"/>
      <c r="F99" s="17"/>
      <c r="G99" s="18" t="str">
        <f aca="false">IF(OR(A99="",F99=""),"",IF(E99="USD",F99*Settings!$B$6,F99))</f>
        <v/>
      </c>
      <c r="H99" s="19" t="str">
        <f aca="false">IF(OR(A99="",F99=""),"",IF(E99="USD",F99,F99/Settings!$B$6))</f>
        <v/>
      </c>
      <c r="I99" s="20" t="str">
        <f aca="false">IF(A99="","",DATE(YEAR(A99),MONTH(A99),1))</f>
        <v/>
      </c>
    </row>
    <row r="100" customFormat="false" ht="15" hidden="false" customHeight="false" outlineLevel="0" collapsed="false">
      <c r="A100" s="15"/>
      <c r="B100" s="16"/>
      <c r="C100" s="16"/>
      <c r="D100" s="16"/>
      <c r="E100" s="16"/>
      <c r="F100" s="17"/>
      <c r="G100" s="18" t="str">
        <f aca="false">IF(OR(A100="",F100=""),"",IF(E100="USD",F100*Settings!$B$6,F100))</f>
        <v/>
      </c>
      <c r="H100" s="19" t="str">
        <f aca="false">IF(OR(A100="",F100=""),"",IF(E100="USD",F100,F100/Settings!$B$6))</f>
        <v/>
      </c>
      <c r="I100" s="20" t="str">
        <f aca="false">IF(A100="","",DATE(YEAR(A100),MONTH(A100),1))</f>
        <v/>
      </c>
    </row>
    <row r="101" customFormat="false" ht="15" hidden="false" customHeight="false" outlineLevel="0" collapsed="false">
      <c r="A101" s="15"/>
      <c r="B101" s="16"/>
      <c r="C101" s="16"/>
      <c r="D101" s="16"/>
      <c r="E101" s="16"/>
      <c r="F101" s="17"/>
      <c r="G101" s="18" t="str">
        <f aca="false">IF(OR(A101="",F101=""),"",IF(E101="USD",F101*Settings!$B$6,F101))</f>
        <v/>
      </c>
      <c r="H101" s="19" t="str">
        <f aca="false">IF(OR(A101="",F101=""),"",IF(E101="USD",F101,F101/Settings!$B$6))</f>
        <v/>
      </c>
      <c r="I101" s="20" t="str">
        <f aca="false">IF(A101="","",DATE(YEAR(A101),MONTH(A101),1))</f>
        <v/>
      </c>
    </row>
    <row r="102" customFormat="false" ht="15" hidden="false" customHeight="false" outlineLevel="0" collapsed="false">
      <c r="A102" s="15"/>
      <c r="B102" s="16"/>
      <c r="C102" s="16"/>
      <c r="D102" s="16"/>
      <c r="E102" s="16"/>
      <c r="F102" s="17"/>
      <c r="G102" s="18" t="str">
        <f aca="false">IF(OR(A102="",F102=""),"",IF(E102="USD",F102*Settings!$B$6,F102))</f>
        <v/>
      </c>
      <c r="H102" s="19" t="str">
        <f aca="false">IF(OR(A102="",F102=""),"",IF(E102="USD",F102,F102/Settings!$B$6))</f>
        <v/>
      </c>
      <c r="I102" s="20" t="str">
        <f aca="false">IF(A102="","",DATE(YEAR(A102),MONTH(A102),1))</f>
        <v/>
      </c>
    </row>
    <row r="103" customFormat="false" ht="15" hidden="false" customHeight="false" outlineLevel="0" collapsed="false">
      <c r="A103" s="15"/>
      <c r="B103" s="16"/>
      <c r="C103" s="16"/>
      <c r="D103" s="16"/>
      <c r="E103" s="16"/>
      <c r="F103" s="17"/>
      <c r="G103" s="18" t="str">
        <f aca="false">IF(OR(A103="",F103=""),"",IF(E103="USD",F103*Settings!$B$6,F103))</f>
        <v/>
      </c>
      <c r="H103" s="19" t="str">
        <f aca="false">IF(OR(A103="",F103=""),"",IF(E103="USD",F103,F103/Settings!$B$6))</f>
        <v/>
      </c>
      <c r="I103" s="20" t="str">
        <f aca="false">IF(A103="","",DATE(YEAR(A103),MONTH(A103),1))</f>
        <v/>
      </c>
    </row>
    <row r="104" customFormat="false" ht="15" hidden="false" customHeight="false" outlineLevel="0" collapsed="false">
      <c r="A104" s="15"/>
      <c r="B104" s="16"/>
      <c r="C104" s="16"/>
      <c r="D104" s="16"/>
      <c r="E104" s="16"/>
      <c r="F104" s="17"/>
      <c r="G104" s="18" t="str">
        <f aca="false">IF(OR(A104="",F104=""),"",IF(E104="USD",F104*Settings!$B$6,F104))</f>
        <v/>
      </c>
      <c r="H104" s="19" t="str">
        <f aca="false">IF(OR(A104="",F104=""),"",IF(E104="USD",F104,F104/Settings!$B$6))</f>
        <v/>
      </c>
      <c r="I104" s="20" t="str">
        <f aca="false">IF(A104="","",DATE(YEAR(A104),MONTH(A104),1))</f>
        <v/>
      </c>
    </row>
    <row r="105" customFormat="false" ht="15" hidden="false" customHeight="false" outlineLevel="0" collapsed="false">
      <c r="A105" s="15"/>
      <c r="B105" s="16"/>
      <c r="C105" s="16"/>
      <c r="D105" s="16"/>
      <c r="E105" s="16"/>
      <c r="F105" s="17"/>
      <c r="G105" s="18" t="str">
        <f aca="false">IF(OR(A105="",F105=""),"",IF(E105="USD",F105*Settings!$B$6,F105))</f>
        <v/>
      </c>
      <c r="H105" s="19" t="str">
        <f aca="false">IF(OR(A105="",F105=""),"",IF(E105="USD",F105,F105/Settings!$B$6))</f>
        <v/>
      </c>
      <c r="I105" s="20" t="str">
        <f aca="false">IF(A105="","",DATE(YEAR(A105),MONTH(A105),1))</f>
        <v/>
      </c>
    </row>
    <row r="106" customFormat="false" ht="15" hidden="false" customHeight="false" outlineLevel="0" collapsed="false">
      <c r="A106" s="15"/>
      <c r="B106" s="16"/>
      <c r="C106" s="16"/>
      <c r="D106" s="16"/>
      <c r="E106" s="16"/>
      <c r="F106" s="17"/>
      <c r="G106" s="18" t="str">
        <f aca="false">IF(OR(A106="",F106=""),"",IF(E106="USD",F106*Settings!$B$6,F106))</f>
        <v/>
      </c>
      <c r="H106" s="19" t="str">
        <f aca="false">IF(OR(A106="",F106=""),"",IF(E106="USD",F106,F106/Settings!$B$6))</f>
        <v/>
      </c>
      <c r="I106" s="20" t="str">
        <f aca="false">IF(A106="","",DATE(YEAR(A106),MONTH(A106),1))</f>
        <v/>
      </c>
    </row>
    <row r="107" customFormat="false" ht="15" hidden="false" customHeight="false" outlineLevel="0" collapsed="false">
      <c r="A107" s="15"/>
      <c r="B107" s="16"/>
      <c r="C107" s="16"/>
      <c r="D107" s="16"/>
      <c r="E107" s="16"/>
      <c r="F107" s="17"/>
      <c r="G107" s="18" t="str">
        <f aca="false">IF(OR(A107="",F107=""),"",IF(E107="USD",F107*Settings!$B$6,F107))</f>
        <v/>
      </c>
      <c r="H107" s="19" t="str">
        <f aca="false">IF(OR(A107="",F107=""),"",IF(E107="USD",F107,F107/Settings!$B$6))</f>
        <v/>
      </c>
      <c r="I107" s="20" t="str">
        <f aca="false">IF(A107="","",DATE(YEAR(A107),MONTH(A107),1))</f>
        <v/>
      </c>
    </row>
    <row r="108" customFormat="false" ht="15" hidden="false" customHeight="false" outlineLevel="0" collapsed="false">
      <c r="A108" s="15"/>
      <c r="B108" s="16"/>
      <c r="C108" s="16"/>
      <c r="D108" s="16"/>
      <c r="E108" s="16"/>
      <c r="F108" s="17"/>
      <c r="G108" s="18" t="str">
        <f aca="false">IF(OR(A108="",F108=""),"",IF(E108="USD",F108*Settings!$B$6,F108))</f>
        <v/>
      </c>
      <c r="H108" s="19" t="str">
        <f aca="false">IF(OR(A108="",F108=""),"",IF(E108="USD",F108,F108/Settings!$B$6))</f>
        <v/>
      </c>
      <c r="I108" s="20" t="str">
        <f aca="false">IF(A108="","",DATE(YEAR(A108),MONTH(A108),1))</f>
        <v/>
      </c>
    </row>
    <row r="109" customFormat="false" ht="15" hidden="false" customHeight="false" outlineLevel="0" collapsed="false">
      <c r="A109" s="15"/>
      <c r="B109" s="16"/>
      <c r="C109" s="16"/>
      <c r="D109" s="16"/>
      <c r="E109" s="16"/>
      <c r="F109" s="17"/>
      <c r="G109" s="18" t="str">
        <f aca="false">IF(OR(A109="",F109=""),"",IF(E109="USD",F109*Settings!$B$6,F109))</f>
        <v/>
      </c>
      <c r="H109" s="19" t="str">
        <f aca="false">IF(OR(A109="",F109=""),"",IF(E109="USD",F109,F109/Settings!$B$6))</f>
        <v/>
      </c>
      <c r="I109" s="20" t="str">
        <f aca="false">IF(A109="","",DATE(YEAR(A109),MONTH(A109),1))</f>
        <v/>
      </c>
    </row>
    <row r="110" customFormat="false" ht="15" hidden="false" customHeight="false" outlineLevel="0" collapsed="false">
      <c r="A110" s="15"/>
      <c r="B110" s="16"/>
      <c r="C110" s="16"/>
      <c r="D110" s="16"/>
      <c r="E110" s="16"/>
      <c r="F110" s="17"/>
      <c r="G110" s="18" t="str">
        <f aca="false">IF(OR(A110="",F110=""),"",IF(E110="USD",F110*Settings!$B$6,F110))</f>
        <v/>
      </c>
      <c r="H110" s="19" t="str">
        <f aca="false">IF(OR(A110="",F110=""),"",IF(E110="USD",F110,F110/Settings!$B$6))</f>
        <v/>
      </c>
      <c r="I110" s="20" t="str">
        <f aca="false">IF(A110="","",DATE(YEAR(A110),MONTH(A110),1))</f>
        <v/>
      </c>
    </row>
    <row r="111" customFormat="false" ht="15" hidden="false" customHeight="false" outlineLevel="0" collapsed="false">
      <c r="A111" s="15"/>
      <c r="B111" s="16"/>
      <c r="C111" s="16"/>
      <c r="D111" s="16"/>
      <c r="E111" s="16"/>
      <c r="F111" s="17"/>
      <c r="G111" s="18" t="str">
        <f aca="false">IF(OR(A111="",F111=""),"",IF(E111="USD",F111*Settings!$B$6,F111))</f>
        <v/>
      </c>
      <c r="H111" s="19" t="str">
        <f aca="false">IF(OR(A111="",F111=""),"",IF(E111="USD",F111,F111/Settings!$B$6))</f>
        <v/>
      </c>
      <c r="I111" s="20" t="str">
        <f aca="false">IF(A111="","",DATE(YEAR(A111),MONTH(A111),1))</f>
        <v/>
      </c>
    </row>
    <row r="112" customFormat="false" ht="15" hidden="false" customHeight="false" outlineLevel="0" collapsed="false">
      <c r="A112" s="15"/>
      <c r="B112" s="16"/>
      <c r="C112" s="16"/>
      <c r="D112" s="16"/>
      <c r="E112" s="16"/>
      <c r="F112" s="17"/>
      <c r="G112" s="18" t="str">
        <f aca="false">IF(OR(A112="",F112=""),"",IF(E112="USD",F112*Settings!$B$6,F112))</f>
        <v/>
      </c>
      <c r="H112" s="19" t="str">
        <f aca="false">IF(OR(A112="",F112=""),"",IF(E112="USD",F112,F112/Settings!$B$6))</f>
        <v/>
      </c>
      <c r="I112" s="20" t="str">
        <f aca="false">IF(A112="","",DATE(YEAR(A112),MONTH(A112),1))</f>
        <v/>
      </c>
    </row>
    <row r="113" customFormat="false" ht="15" hidden="false" customHeight="false" outlineLevel="0" collapsed="false">
      <c r="A113" s="15"/>
      <c r="B113" s="16"/>
      <c r="C113" s="16"/>
      <c r="D113" s="16"/>
      <c r="E113" s="16"/>
      <c r="F113" s="17"/>
      <c r="G113" s="18" t="str">
        <f aca="false">IF(OR(A113="",F113=""),"",IF(E113="USD",F113*Settings!$B$6,F113))</f>
        <v/>
      </c>
      <c r="H113" s="19" t="str">
        <f aca="false">IF(OR(A113="",F113=""),"",IF(E113="USD",F113,F113/Settings!$B$6))</f>
        <v/>
      </c>
      <c r="I113" s="20" t="str">
        <f aca="false">IF(A113="","",DATE(YEAR(A113),MONTH(A113),1))</f>
        <v/>
      </c>
    </row>
    <row r="114" customFormat="false" ht="15" hidden="false" customHeight="false" outlineLevel="0" collapsed="false">
      <c r="A114" s="15"/>
      <c r="B114" s="16"/>
      <c r="C114" s="16"/>
      <c r="D114" s="16"/>
      <c r="E114" s="16"/>
      <c r="F114" s="17"/>
      <c r="G114" s="18" t="str">
        <f aca="false">IF(OR(A114="",F114=""),"",IF(E114="USD",F114*Settings!$B$6,F114))</f>
        <v/>
      </c>
      <c r="H114" s="19" t="str">
        <f aca="false">IF(OR(A114="",F114=""),"",IF(E114="USD",F114,F114/Settings!$B$6))</f>
        <v/>
      </c>
      <c r="I114" s="20" t="str">
        <f aca="false">IF(A114="","",DATE(YEAR(A114),MONTH(A114),1))</f>
        <v/>
      </c>
    </row>
    <row r="115" customFormat="false" ht="15" hidden="false" customHeight="false" outlineLevel="0" collapsed="false">
      <c r="A115" s="15"/>
      <c r="B115" s="16"/>
      <c r="C115" s="16"/>
      <c r="D115" s="16"/>
      <c r="E115" s="16"/>
      <c r="F115" s="17"/>
      <c r="G115" s="18" t="str">
        <f aca="false">IF(OR(A115="",F115=""),"",IF(E115="USD",F115*Settings!$B$6,F115))</f>
        <v/>
      </c>
      <c r="H115" s="19" t="str">
        <f aca="false">IF(OR(A115="",F115=""),"",IF(E115="USD",F115,F115/Settings!$B$6))</f>
        <v/>
      </c>
      <c r="I115" s="20" t="str">
        <f aca="false">IF(A115="","",DATE(YEAR(A115),MONTH(A115),1))</f>
        <v/>
      </c>
    </row>
    <row r="116" customFormat="false" ht="15" hidden="false" customHeight="false" outlineLevel="0" collapsed="false">
      <c r="A116" s="15"/>
      <c r="B116" s="16"/>
      <c r="C116" s="16"/>
      <c r="D116" s="16"/>
      <c r="E116" s="16"/>
      <c r="F116" s="17"/>
      <c r="G116" s="18" t="str">
        <f aca="false">IF(OR(A116="",F116=""),"",IF(E116="USD",F116*Settings!$B$6,F116))</f>
        <v/>
      </c>
      <c r="H116" s="19" t="str">
        <f aca="false">IF(OR(A116="",F116=""),"",IF(E116="USD",F116,F116/Settings!$B$6))</f>
        <v/>
      </c>
      <c r="I116" s="20" t="str">
        <f aca="false">IF(A116="","",DATE(YEAR(A116),MONTH(A116),1))</f>
        <v/>
      </c>
    </row>
    <row r="117" customFormat="false" ht="15" hidden="false" customHeight="false" outlineLevel="0" collapsed="false">
      <c r="A117" s="15"/>
      <c r="B117" s="16"/>
      <c r="C117" s="16"/>
      <c r="D117" s="16"/>
      <c r="E117" s="16"/>
      <c r="F117" s="17"/>
      <c r="G117" s="18" t="str">
        <f aca="false">IF(OR(A117="",F117=""),"",IF(E117="USD",F117*Settings!$B$6,F117))</f>
        <v/>
      </c>
      <c r="H117" s="19" t="str">
        <f aca="false">IF(OR(A117="",F117=""),"",IF(E117="USD",F117,F117/Settings!$B$6))</f>
        <v/>
      </c>
      <c r="I117" s="20" t="str">
        <f aca="false">IF(A117="","",DATE(YEAR(A117),MONTH(A117),1))</f>
        <v/>
      </c>
    </row>
    <row r="118" customFormat="false" ht="15" hidden="false" customHeight="false" outlineLevel="0" collapsed="false">
      <c r="A118" s="15"/>
      <c r="B118" s="16"/>
      <c r="C118" s="16"/>
      <c r="D118" s="16"/>
      <c r="E118" s="16"/>
      <c r="F118" s="17"/>
      <c r="G118" s="18" t="str">
        <f aca="false">IF(OR(A118="",F118=""),"",IF(E118="USD",F118*Settings!$B$6,F118))</f>
        <v/>
      </c>
      <c r="H118" s="19" t="str">
        <f aca="false">IF(OR(A118="",F118=""),"",IF(E118="USD",F118,F118/Settings!$B$6))</f>
        <v/>
      </c>
      <c r="I118" s="20" t="str">
        <f aca="false">IF(A118="","",DATE(YEAR(A118),MONTH(A118),1))</f>
        <v/>
      </c>
    </row>
    <row r="119" customFormat="false" ht="15" hidden="false" customHeight="false" outlineLevel="0" collapsed="false">
      <c r="A119" s="15"/>
      <c r="B119" s="16"/>
      <c r="C119" s="16"/>
      <c r="D119" s="16"/>
      <c r="E119" s="16"/>
      <c r="F119" s="17"/>
      <c r="G119" s="18" t="str">
        <f aca="false">IF(OR(A119="",F119=""),"",IF(E119="USD",F119*Settings!$B$6,F119))</f>
        <v/>
      </c>
      <c r="H119" s="19" t="str">
        <f aca="false">IF(OR(A119="",F119=""),"",IF(E119="USD",F119,F119/Settings!$B$6))</f>
        <v/>
      </c>
      <c r="I119" s="20" t="str">
        <f aca="false">IF(A119="","",DATE(YEAR(A119),MONTH(A119),1))</f>
        <v/>
      </c>
    </row>
    <row r="120" customFormat="false" ht="15" hidden="false" customHeight="false" outlineLevel="0" collapsed="false">
      <c r="A120" s="15"/>
      <c r="B120" s="16"/>
      <c r="C120" s="16"/>
      <c r="D120" s="16"/>
      <c r="E120" s="16"/>
      <c r="F120" s="17"/>
      <c r="G120" s="18" t="str">
        <f aca="false">IF(OR(A120="",F120=""),"",IF(E120="USD",F120*Settings!$B$6,F120))</f>
        <v/>
      </c>
      <c r="H120" s="19" t="str">
        <f aca="false">IF(OR(A120="",F120=""),"",IF(E120="USD",F120,F120/Settings!$B$6))</f>
        <v/>
      </c>
      <c r="I120" s="20" t="str">
        <f aca="false">IF(A120="","",DATE(YEAR(A120),MONTH(A120),1))</f>
        <v/>
      </c>
    </row>
    <row r="121" customFormat="false" ht="15" hidden="false" customHeight="false" outlineLevel="0" collapsed="false">
      <c r="A121" s="15"/>
      <c r="B121" s="16"/>
      <c r="C121" s="16"/>
      <c r="D121" s="16"/>
      <c r="E121" s="16"/>
      <c r="F121" s="17"/>
      <c r="G121" s="18" t="str">
        <f aca="false">IF(OR(A121="",F121=""),"",IF(E121="USD",F121*Settings!$B$6,F121))</f>
        <v/>
      </c>
      <c r="H121" s="19" t="str">
        <f aca="false">IF(OR(A121="",F121=""),"",IF(E121="USD",F121,F121/Settings!$B$6))</f>
        <v/>
      </c>
      <c r="I121" s="20" t="str">
        <f aca="false">IF(A121="","",DATE(YEAR(A121),MONTH(A121),1))</f>
        <v/>
      </c>
    </row>
    <row r="122" customFormat="false" ht="15" hidden="false" customHeight="false" outlineLevel="0" collapsed="false">
      <c r="A122" s="15"/>
      <c r="B122" s="16"/>
      <c r="C122" s="16"/>
      <c r="D122" s="16"/>
      <c r="E122" s="16"/>
      <c r="F122" s="17"/>
      <c r="G122" s="18" t="str">
        <f aca="false">IF(OR(A122="",F122=""),"",IF(E122="USD",F122*Settings!$B$6,F122))</f>
        <v/>
      </c>
      <c r="H122" s="19" t="str">
        <f aca="false">IF(OR(A122="",F122=""),"",IF(E122="USD",F122,F122/Settings!$B$6))</f>
        <v/>
      </c>
      <c r="I122" s="20" t="str">
        <f aca="false">IF(A122="","",DATE(YEAR(A122),MONTH(A122),1))</f>
        <v/>
      </c>
    </row>
    <row r="123" customFormat="false" ht="15" hidden="false" customHeight="false" outlineLevel="0" collapsed="false">
      <c r="A123" s="15"/>
      <c r="B123" s="16"/>
      <c r="C123" s="16"/>
      <c r="D123" s="16"/>
      <c r="E123" s="16"/>
      <c r="F123" s="17"/>
      <c r="G123" s="18" t="str">
        <f aca="false">IF(OR(A123="",F123=""),"",IF(E123="USD",F123*Settings!$B$6,F123))</f>
        <v/>
      </c>
      <c r="H123" s="19" t="str">
        <f aca="false">IF(OR(A123="",F123=""),"",IF(E123="USD",F123,F123/Settings!$B$6))</f>
        <v/>
      </c>
      <c r="I123" s="20" t="str">
        <f aca="false">IF(A123="","",DATE(YEAR(A123),MONTH(A123),1))</f>
        <v/>
      </c>
    </row>
    <row r="124" customFormat="false" ht="15" hidden="false" customHeight="false" outlineLevel="0" collapsed="false">
      <c r="A124" s="15"/>
      <c r="B124" s="16"/>
      <c r="C124" s="16"/>
      <c r="D124" s="16"/>
      <c r="E124" s="16"/>
      <c r="F124" s="17"/>
      <c r="G124" s="18" t="str">
        <f aca="false">IF(OR(A124="",F124=""),"",IF(E124="USD",F124*Settings!$B$6,F124))</f>
        <v/>
      </c>
      <c r="H124" s="19" t="str">
        <f aca="false">IF(OR(A124="",F124=""),"",IF(E124="USD",F124,F124/Settings!$B$6))</f>
        <v/>
      </c>
      <c r="I124" s="20" t="str">
        <f aca="false">IF(A124="","",DATE(YEAR(A124),MONTH(A124),1))</f>
        <v/>
      </c>
    </row>
    <row r="125" customFormat="false" ht="15" hidden="false" customHeight="false" outlineLevel="0" collapsed="false">
      <c r="A125" s="15"/>
      <c r="B125" s="16"/>
      <c r="C125" s="16"/>
      <c r="D125" s="16"/>
      <c r="E125" s="16"/>
      <c r="F125" s="17"/>
      <c r="G125" s="18" t="str">
        <f aca="false">IF(OR(A125="",F125=""),"",IF(E125="USD",F125*Settings!$B$6,F125))</f>
        <v/>
      </c>
      <c r="H125" s="19" t="str">
        <f aca="false">IF(OR(A125="",F125=""),"",IF(E125="USD",F125,F125/Settings!$B$6))</f>
        <v/>
      </c>
      <c r="I125" s="20" t="str">
        <f aca="false">IF(A125="","",DATE(YEAR(A125),MONTH(A125),1))</f>
        <v/>
      </c>
    </row>
    <row r="126" customFormat="false" ht="15" hidden="false" customHeight="false" outlineLevel="0" collapsed="false">
      <c r="A126" s="15"/>
      <c r="B126" s="16"/>
      <c r="C126" s="16"/>
      <c r="D126" s="16"/>
      <c r="E126" s="16"/>
      <c r="F126" s="17"/>
      <c r="G126" s="18" t="str">
        <f aca="false">IF(OR(A126="",F126=""),"",IF(E126="USD",F126*Settings!$B$6,F126))</f>
        <v/>
      </c>
      <c r="H126" s="19" t="str">
        <f aca="false">IF(OR(A126="",F126=""),"",IF(E126="USD",F126,F126/Settings!$B$6))</f>
        <v/>
      </c>
      <c r="I126" s="20" t="str">
        <f aca="false">IF(A126="","",DATE(YEAR(A126),MONTH(A126),1))</f>
        <v/>
      </c>
    </row>
    <row r="127" customFormat="false" ht="15" hidden="false" customHeight="false" outlineLevel="0" collapsed="false">
      <c r="A127" s="15"/>
      <c r="B127" s="16"/>
      <c r="C127" s="16"/>
      <c r="D127" s="16"/>
      <c r="E127" s="16"/>
      <c r="F127" s="17"/>
      <c r="G127" s="18" t="str">
        <f aca="false">IF(OR(A127="",F127=""),"",IF(E127="USD",F127*Settings!$B$6,F127))</f>
        <v/>
      </c>
      <c r="H127" s="19" t="str">
        <f aca="false">IF(OR(A127="",F127=""),"",IF(E127="USD",F127,F127/Settings!$B$6))</f>
        <v/>
      </c>
      <c r="I127" s="20" t="str">
        <f aca="false">IF(A127="","",DATE(YEAR(A127),MONTH(A127),1))</f>
        <v/>
      </c>
    </row>
    <row r="128" customFormat="false" ht="15" hidden="false" customHeight="false" outlineLevel="0" collapsed="false">
      <c r="A128" s="15"/>
      <c r="B128" s="16"/>
      <c r="C128" s="16"/>
      <c r="D128" s="16"/>
      <c r="E128" s="16"/>
      <c r="F128" s="17"/>
      <c r="G128" s="18" t="str">
        <f aca="false">IF(OR(A128="",F128=""),"",IF(E128="USD",F128*Settings!$B$6,F128))</f>
        <v/>
      </c>
      <c r="H128" s="19" t="str">
        <f aca="false">IF(OR(A128="",F128=""),"",IF(E128="USD",F128,F128/Settings!$B$6))</f>
        <v/>
      </c>
      <c r="I128" s="20" t="str">
        <f aca="false">IF(A128="","",DATE(YEAR(A128),MONTH(A128),1))</f>
        <v/>
      </c>
    </row>
    <row r="129" customFormat="false" ht="15" hidden="false" customHeight="false" outlineLevel="0" collapsed="false">
      <c r="A129" s="15"/>
      <c r="B129" s="16"/>
      <c r="C129" s="16"/>
      <c r="D129" s="16"/>
      <c r="E129" s="16"/>
      <c r="F129" s="17"/>
      <c r="G129" s="18" t="str">
        <f aca="false">IF(OR(A129="",F129=""),"",IF(E129="USD",F129*Settings!$B$6,F129))</f>
        <v/>
      </c>
      <c r="H129" s="19" t="str">
        <f aca="false">IF(OR(A129="",F129=""),"",IF(E129="USD",F129,F129/Settings!$B$6))</f>
        <v/>
      </c>
      <c r="I129" s="20" t="str">
        <f aca="false">IF(A129="","",DATE(YEAR(A129),MONTH(A129),1))</f>
        <v/>
      </c>
    </row>
    <row r="130" customFormat="false" ht="15" hidden="false" customHeight="false" outlineLevel="0" collapsed="false">
      <c r="A130" s="15"/>
      <c r="B130" s="16"/>
      <c r="C130" s="16"/>
      <c r="D130" s="16"/>
      <c r="E130" s="16"/>
      <c r="F130" s="17"/>
      <c r="G130" s="18" t="str">
        <f aca="false">IF(OR(A130="",F130=""),"",IF(E130="USD",F130*Settings!$B$6,F130))</f>
        <v/>
      </c>
      <c r="H130" s="19" t="str">
        <f aca="false">IF(OR(A130="",F130=""),"",IF(E130="USD",F130,F130/Settings!$B$6))</f>
        <v/>
      </c>
      <c r="I130" s="20" t="str">
        <f aca="false">IF(A130="","",DATE(YEAR(A130),MONTH(A130),1))</f>
        <v/>
      </c>
    </row>
    <row r="131" customFormat="false" ht="15" hidden="false" customHeight="false" outlineLevel="0" collapsed="false">
      <c r="A131" s="15"/>
      <c r="B131" s="16"/>
      <c r="C131" s="16"/>
      <c r="D131" s="16"/>
      <c r="E131" s="16"/>
      <c r="F131" s="17"/>
      <c r="G131" s="18" t="str">
        <f aca="false">IF(OR(A131="",F131=""),"",IF(E131="USD",F131*Settings!$B$6,F131))</f>
        <v/>
      </c>
      <c r="H131" s="19" t="str">
        <f aca="false">IF(OR(A131="",F131=""),"",IF(E131="USD",F131,F131/Settings!$B$6))</f>
        <v/>
      </c>
      <c r="I131" s="20" t="str">
        <f aca="false">IF(A131="","",DATE(YEAR(A131),MONTH(A131),1))</f>
        <v/>
      </c>
    </row>
    <row r="132" customFormat="false" ht="15" hidden="false" customHeight="false" outlineLevel="0" collapsed="false">
      <c r="A132" s="15"/>
      <c r="B132" s="16"/>
      <c r="C132" s="16"/>
      <c r="D132" s="16"/>
      <c r="E132" s="16"/>
      <c r="F132" s="17"/>
      <c r="G132" s="18" t="str">
        <f aca="false">IF(OR(A132="",F132=""),"",IF(E132="USD",F132*Settings!$B$6,F132))</f>
        <v/>
      </c>
      <c r="H132" s="19" t="str">
        <f aca="false">IF(OR(A132="",F132=""),"",IF(E132="USD",F132,F132/Settings!$B$6))</f>
        <v/>
      </c>
      <c r="I132" s="20" t="str">
        <f aca="false">IF(A132="","",DATE(YEAR(A132),MONTH(A132),1))</f>
        <v/>
      </c>
    </row>
    <row r="133" customFormat="false" ht="15" hidden="false" customHeight="false" outlineLevel="0" collapsed="false">
      <c r="A133" s="15"/>
      <c r="B133" s="16"/>
      <c r="C133" s="16"/>
      <c r="D133" s="16"/>
      <c r="E133" s="16"/>
      <c r="F133" s="17"/>
      <c r="G133" s="18" t="str">
        <f aca="false">IF(OR(A133="",F133=""),"",IF(E133="USD",F133*Settings!$B$6,F133))</f>
        <v/>
      </c>
      <c r="H133" s="19" t="str">
        <f aca="false">IF(OR(A133="",F133=""),"",IF(E133="USD",F133,F133/Settings!$B$6))</f>
        <v/>
      </c>
      <c r="I133" s="20" t="str">
        <f aca="false">IF(A133="","",DATE(YEAR(A133),MONTH(A133),1))</f>
        <v/>
      </c>
    </row>
    <row r="134" customFormat="false" ht="15" hidden="false" customHeight="false" outlineLevel="0" collapsed="false">
      <c r="A134" s="15"/>
      <c r="B134" s="16"/>
      <c r="C134" s="16"/>
      <c r="D134" s="16"/>
      <c r="E134" s="16"/>
      <c r="F134" s="17"/>
      <c r="G134" s="18" t="str">
        <f aca="false">IF(OR(A134="",F134=""),"",IF(E134="USD",F134*Settings!$B$6,F134))</f>
        <v/>
      </c>
      <c r="H134" s="19" t="str">
        <f aca="false">IF(OR(A134="",F134=""),"",IF(E134="USD",F134,F134/Settings!$B$6))</f>
        <v/>
      </c>
      <c r="I134" s="20" t="str">
        <f aca="false">IF(A134="","",DATE(YEAR(A134),MONTH(A134),1))</f>
        <v/>
      </c>
    </row>
    <row r="135" customFormat="false" ht="15" hidden="false" customHeight="false" outlineLevel="0" collapsed="false">
      <c r="A135" s="15"/>
      <c r="B135" s="16"/>
      <c r="C135" s="16"/>
      <c r="D135" s="16"/>
      <c r="E135" s="16"/>
      <c r="F135" s="17"/>
      <c r="G135" s="18" t="str">
        <f aca="false">IF(OR(A135="",F135=""),"",IF(E135="USD",F135*Settings!$B$6,F135))</f>
        <v/>
      </c>
      <c r="H135" s="19" t="str">
        <f aca="false">IF(OR(A135="",F135=""),"",IF(E135="USD",F135,F135/Settings!$B$6))</f>
        <v/>
      </c>
      <c r="I135" s="20" t="str">
        <f aca="false">IF(A135="","",DATE(YEAR(A135),MONTH(A135),1))</f>
        <v/>
      </c>
    </row>
    <row r="136" customFormat="false" ht="15" hidden="false" customHeight="false" outlineLevel="0" collapsed="false">
      <c r="A136" s="15"/>
      <c r="B136" s="16"/>
      <c r="C136" s="16"/>
      <c r="D136" s="16"/>
      <c r="E136" s="16"/>
      <c r="F136" s="17"/>
      <c r="G136" s="18" t="str">
        <f aca="false">IF(OR(A136="",F136=""),"",IF(E136="USD",F136*Settings!$B$6,F136))</f>
        <v/>
      </c>
      <c r="H136" s="19" t="str">
        <f aca="false">IF(OR(A136="",F136=""),"",IF(E136="USD",F136,F136/Settings!$B$6))</f>
        <v/>
      </c>
      <c r="I136" s="20" t="str">
        <f aca="false">IF(A136="","",DATE(YEAR(A136),MONTH(A136),1))</f>
        <v/>
      </c>
    </row>
    <row r="137" customFormat="false" ht="15" hidden="false" customHeight="false" outlineLevel="0" collapsed="false">
      <c r="A137" s="15"/>
      <c r="B137" s="16"/>
      <c r="C137" s="16"/>
      <c r="D137" s="16"/>
      <c r="E137" s="16"/>
      <c r="F137" s="17"/>
      <c r="G137" s="18" t="str">
        <f aca="false">IF(OR(A137="",F137=""),"",IF(E137="USD",F137*Settings!$B$6,F137))</f>
        <v/>
      </c>
      <c r="H137" s="19" t="str">
        <f aca="false">IF(OR(A137="",F137=""),"",IF(E137="USD",F137,F137/Settings!$B$6))</f>
        <v/>
      </c>
      <c r="I137" s="20" t="str">
        <f aca="false">IF(A137="","",DATE(YEAR(A137),MONTH(A137),1))</f>
        <v/>
      </c>
    </row>
    <row r="138" customFormat="false" ht="15" hidden="false" customHeight="false" outlineLevel="0" collapsed="false">
      <c r="A138" s="15"/>
      <c r="B138" s="16"/>
      <c r="C138" s="16"/>
      <c r="D138" s="16"/>
      <c r="E138" s="16"/>
      <c r="F138" s="17"/>
      <c r="G138" s="18" t="str">
        <f aca="false">IF(OR(A138="",F138=""),"",IF(E138="USD",F138*Settings!$B$6,F138))</f>
        <v/>
      </c>
      <c r="H138" s="19" t="str">
        <f aca="false">IF(OR(A138="",F138=""),"",IF(E138="USD",F138,F138/Settings!$B$6))</f>
        <v/>
      </c>
      <c r="I138" s="20" t="str">
        <f aca="false">IF(A138="","",DATE(YEAR(A138),MONTH(A138),1))</f>
        <v/>
      </c>
    </row>
    <row r="139" customFormat="false" ht="15" hidden="false" customHeight="false" outlineLevel="0" collapsed="false">
      <c r="A139" s="15"/>
      <c r="B139" s="16"/>
      <c r="C139" s="16"/>
      <c r="D139" s="16"/>
      <c r="E139" s="16"/>
      <c r="F139" s="17"/>
      <c r="G139" s="18" t="str">
        <f aca="false">IF(OR(A139="",F139=""),"",IF(E139="USD",F139*Settings!$B$6,F139))</f>
        <v/>
      </c>
      <c r="H139" s="19" t="str">
        <f aca="false">IF(OR(A139="",F139=""),"",IF(E139="USD",F139,F139/Settings!$B$6))</f>
        <v/>
      </c>
      <c r="I139" s="20" t="str">
        <f aca="false">IF(A139="","",DATE(YEAR(A139),MONTH(A139),1))</f>
        <v/>
      </c>
    </row>
    <row r="140" customFormat="false" ht="15" hidden="false" customHeight="false" outlineLevel="0" collapsed="false">
      <c r="A140" s="15"/>
      <c r="B140" s="16"/>
      <c r="C140" s="16"/>
      <c r="D140" s="16"/>
      <c r="E140" s="16"/>
      <c r="F140" s="17"/>
      <c r="G140" s="18" t="str">
        <f aca="false">IF(OR(A140="",F140=""),"",IF(E140="USD",F140*Settings!$B$6,F140))</f>
        <v/>
      </c>
      <c r="H140" s="19" t="str">
        <f aca="false">IF(OR(A140="",F140=""),"",IF(E140="USD",F140,F140/Settings!$B$6))</f>
        <v/>
      </c>
      <c r="I140" s="20" t="str">
        <f aca="false">IF(A140="","",DATE(YEAR(A140),MONTH(A140),1))</f>
        <v/>
      </c>
    </row>
    <row r="141" customFormat="false" ht="15" hidden="false" customHeight="false" outlineLevel="0" collapsed="false">
      <c r="A141" s="15"/>
      <c r="B141" s="16"/>
      <c r="C141" s="16"/>
      <c r="D141" s="16"/>
      <c r="E141" s="16"/>
      <c r="F141" s="17"/>
      <c r="G141" s="18" t="str">
        <f aca="false">IF(OR(A141="",F141=""),"",IF(E141="USD",F141*Settings!$B$6,F141))</f>
        <v/>
      </c>
      <c r="H141" s="19" t="str">
        <f aca="false">IF(OR(A141="",F141=""),"",IF(E141="USD",F141,F141/Settings!$B$6))</f>
        <v/>
      </c>
      <c r="I141" s="20" t="str">
        <f aca="false">IF(A141="","",DATE(YEAR(A141),MONTH(A141),1))</f>
        <v/>
      </c>
    </row>
    <row r="142" customFormat="false" ht="15" hidden="false" customHeight="false" outlineLevel="0" collapsed="false">
      <c r="A142" s="15"/>
      <c r="B142" s="16"/>
      <c r="C142" s="16"/>
      <c r="D142" s="16"/>
      <c r="E142" s="16"/>
      <c r="F142" s="17"/>
      <c r="G142" s="18" t="str">
        <f aca="false">IF(OR(A142="",F142=""),"",IF(E142="USD",F142*Settings!$B$6,F142))</f>
        <v/>
      </c>
      <c r="H142" s="19" t="str">
        <f aca="false">IF(OR(A142="",F142=""),"",IF(E142="USD",F142,F142/Settings!$B$6))</f>
        <v/>
      </c>
      <c r="I142" s="20" t="str">
        <f aca="false">IF(A142="","",DATE(YEAR(A142),MONTH(A142),1))</f>
        <v/>
      </c>
    </row>
    <row r="143" customFormat="false" ht="15" hidden="false" customHeight="false" outlineLevel="0" collapsed="false">
      <c r="A143" s="15"/>
      <c r="B143" s="16"/>
      <c r="C143" s="16"/>
      <c r="D143" s="16"/>
      <c r="E143" s="16"/>
      <c r="F143" s="17"/>
      <c r="G143" s="18" t="str">
        <f aca="false">IF(OR(A143="",F143=""),"",IF(E143="USD",F143*Settings!$B$6,F143))</f>
        <v/>
      </c>
      <c r="H143" s="19" t="str">
        <f aca="false">IF(OR(A143="",F143=""),"",IF(E143="USD",F143,F143/Settings!$B$6))</f>
        <v/>
      </c>
      <c r="I143" s="20" t="str">
        <f aca="false">IF(A143="","",DATE(YEAR(A143),MONTH(A143),1))</f>
        <v/>
      </c>
    </row>
    <row r="144" customFormat="false" ht="15" hidden="false" customHeight="false" outlineLevel="0" collapsed="false">
      <c r="A144" s="15"/>
      <c r="B144" s="16"/>
      <c r="C144" s="16"/>
      <c r="D144" s="16"/>
      <c r="E144" s="16"/>
      <c r="F144" s="17"/>
      <c r="G144" s="18" t="str">
        <f aca="false">IF(OR(A144="",F144=""),"",IF(E144="USD",F144*Settings!$B$6,F144))</f>
        <v/>
      </c>
      <c r="H144" s="19" t="str">
        <f aca="false">IF(OR(A144="",F144=""),"",IF(E144="USD",F144,F144/Settings!$B$6))</f>
        <v/>
      </c>
      <c r="I144" s="20" t="str">
        <f aca="false">IF(A144="","",DATE(YEAR(A144),MONTH(A144),1))</f>
        <v/>
      </c>
    </row>
    <row r="145" customFormat="false" ht="15" hidden="false" customHeight="false" outlineLevel="0" collapsed="false">
      <c r="A145" s="15"/>
      <c r="B145" s="16"/>
      <c r="C145" s="16"/>
      <c r="D145" s="16"/>
      <c r="E145" s="16"/>
      <c r="F145" s="17"/>
      <c r="G145" s="18" t="str">
        <f aca="false">IF(OR(A145="",F145=""),"",IF(E145="USD",F145*Settings!$B$6,F145))</f>
        <v/>
      </c>
      <c r="H145" s="19" t="str">
        <f aca="false">IF(OR(A145="",F145=""),"",IF(E145="USD",F145,F145/Settings!$B$6))</f>
        <v/>
      </c>
      <c r="I145" s="20" t="str">
        <f aca="false">IF(A145="","",DATE(YEAR(A145),MONTH(A145),1))</f>
        <v/>
      </c>
    </row>
    <row r="146" customFormat="false" ht="15" hidden="false" customHeight="false" outlineLevel="0" collapsed="false">
      <c r="A146" s="15"/>
      <c r="B146" s="16"/>
      <c r="C146" s="16"/>
      <c r="D146" s="16"/>
      <c r="E146" s="16"/>
      <c r="F146" s="17"/>
      <c r="G146" s="18" t="str">
        <f aca="false">IF(OR(A146="",F146=""),"",IF(E146="USD",F146*Settings!$B$6,F146))</f>
        <v/>
      </c>
      <c r="H146" s="19" t="str">
        <f aca="false">IF(OR(A146="",F146=""),"",IF(E146="USD",F146,F146/Settings!$B$6))</f>
        <v/>
      </c>
      <c r="I146" s="20" t="str">
        <f aca="false">IF(A146="","",DATE(YEAR(A146),MONTH(A146),1))</f>
        <v/>
      </c>
    </row>
    <row r="147" customFormat="false" ht="15" hidden="false" customHeight="false" outlineLevel="0" collapsed="false">
      <c r="A147" s="15"/>
      <c r="B147" s="16"/>
      <c r="C147" s="16"/>
      <c r="D147" s="16"/>
      <c r="E147" s="16"/>
      <c r="F147" s="17"/>
      <c r="G147" s="18" t="str">
        <f aca="false">IF(OR(A147="",F147=""),"",IF(E147="USD",F147*Settings!$B$6,F147))</f>
        <v/>
      </c>
      <c r="H147" s="19" t="str">
        <f aca="false">IF(OR(A147="",F147=""),"",IF(E147="USD",F147,F147/Settings!$B$6))</f>
        <v/>
      </c>
      <c r="I147" s="20" t="str">
        <f aca="false">IF(A147="","",DATE(YEAR(A147),MONTH(A147),1))</f>
        <v/>
      </c>
    </row>
    <row r="148" customFormat="false" ht="15" hidden="false" customHeight="false" outlineLevel="0" collapsed="false">
      <c r="A148" s="15"/>
      <c r="B148" s="16"/>
      <c r="C148" s="16"/>
      <c r="D148" s="16"/>
      <c r="E148" s="16"/>
      <c r="F148" s="17"/>
      <c r="G148" s="18" t="str">
        <f aca="false">IF(OR(A148="",F148=""),"",IF(E148="USD",F148*Settings!$B$6,F148))</f>
        <v/>
      </c>
      <c r="H148" s="19" t="str">
        <f aca="false">IF(OR(A148="",F148=""),"",IF(E148="USD",F148,F148/Settings!$B$6))</f>
        <v/>
      </c>
      <c r="I148" s="20" t="str">
        <f aca="false">IF(A148="","",DATE(YEAR(A148),MONTH(A148),1))</f>
        <v/>
      </c>
    </row>
    <row r="149" customFormat="false" ht="15" hidden="false" customHeight="false" outlineLevel="0" collapsed="false">
      <c r="A149" s="15"/>
      <c r="B149" s="16"/>
      <c r="C149" s="16"/>
      <c r="D149" s="16"/>
      <c r="E149" s="16"/>
      <c r="F149" s="17"/>
      <c r="G149" s="18" t="str">
        <f aca="false">IF(OR(A149="",F149=""),"",IF(E149="USD",F149*Settings!$B$6,F149))</f>
        <v/>
      </c>
      <c r="H149" s="19" t="str">
        <f aca="false">IF(OR(A149="",F149=""),"",IF(E149="USD",F149,F149/Settings!$B$6))</f>
        <v/>
      </c>
      <c r="I149" s="20" t="str">
        <f aca="false">IF(A149="","",DATE(YEAR(A149),MONTH(A149),1))</f>
        <v/>
      </c>
    </row>
    <row r="150" customFormat="false" ht="15" hidden="false" customHeight="false" outlineLevel="0" collapsed="false">
      <c r="A150" s="15"/>
      <c r="B150" s="16"/>
      <c r="C150" s="16"/>
      <c r="D150" s="16"/>
      <c r="E150" s="16"/>
      <c r="F150" s="17"/>
      <c r="G150" s="18" t="str">
        <f aca="false">IF(OR(A150="",F150=""),"",IF(E150="USD",F150*Settings!$B$6,F150))</f>
        <v/>
      </c>
      <c r="H150" s="19" t="str">
        <f aca="false">IF(OR(A150="",F150=""),"",IF(E150="USD",F150,F150/Settings!$B$6))</f>
        <v/>
      </c>
      <c r="I150" s="20" t="str">
        <f aca="false">IF(A150="","",DATE(YEAR(A150),MONTH(A150),1))</f>
        <v/>
      </c>
    </row>
    <row r="151" customFormat="false" ht="15" hidden="false" customHeight="false" outlineLevel="0" collapsed="false">
      <c r="A151" s="15"/>
      <c r="B151" s="16"/>
      <c r="C151" s="16"/>
      <c r="D151" s="16"/>
      <c r="E151" s="16"/>
      <c r="F151" s="17"/>
      <c r="G151" s="18" t="str">
        <f aca="false">IF(OR(A151="",F151=""),"",IF(E151="USD",F151*Settings!$B$6,F151))</f>
        <v/>
      </c>
      <c r="H151" s="19" t="str">
        <f aca="false">IF(OR(A151="",F151=""),"",IF(E151="USD",F151,F151/Settings!$B$6))</f>
        <v/>
      </c>
      <c r="I151" s="20" t="str">
        <f aca="false">IF(A151="","",DATE(YEAR(A151),MONTH(A151),1))</f>
        <v/>
      </c>
    </row>
    <row r="152" customFormat="false" ht="15" hidden="false" customHeight="false" outlineLevel="0" collapsed="false">
      <c r="A152" s="15"/>
      <c r="B152" s="16"/>
      <c r="C152" s="16"/>
      <c r="D152" s="16"/>
      <c r="E152" s="16"/>
      <c r="F152" s="17"/>
      <c r="G152" s="18" t="str">
        <f aca="false">IF(OR(A152="",F152=""),"",IF(E152="USD",F152*Settings!$B$6,F152))</f>
        <v/>
      </c>
      <c r="H152" s="19" t="str">
        <f aca="false">IF(OR(A152="",F152=""),"",IF(E152="USD",F152,F152/Settings!$B$6))</f>
        <v/>
      </c>
      <c r="I152" s="20" t="str">
        <f aca="false">IF(A152="","",DATE(YEAR(A152),MONTH(A152),1))</f>
        <v/>
      </c>
    </row>
    <row r="153" customFormat="false" ht="15" hidden="false" customHeight="false" outlineLevel="0" collapsed="false">
      <c r="A153" s="15"/>
      <c r="B153" s="16"/>
      <c r="C153" s="16"/>
      <c r="D153" s="16"/>
      <c r="E153" s="16"/>
      <c r="F153" s="17"/>
      <c r="G153" s="18" t="str">
        <f aca="false">IF(OR(A153="",F153=""),"",IF(E153="USD",F153*Settings!$B$6,F153))</f>
        <v/>
      </c>
      <c r="H153" s="19" t="str">
        <f aca="false">IF(OR(A153="",F153=""),"",IF(E153="USD",F153,F153/Settings!$B$6))</f>
        <v/>
      </c>
      <c r="I153" s="20" t="str">
        <f aca="false">IF(A153="","",DATE(YEAR(A153),MONTH(A153),1))</f>
        <v/>
      </c>
    </row>
    <row r="154" customFormat="false" ht="15" hidden="false" customHeight="false" outlineLevel="0" collapsed="false">
      <c r="A154" s="15"/>
      <c r="B154" s="16"/>
      <c r="C154" s="16"/>
      <c r="D154" s="16"/>
      <c r="E154" s="16"/>
      <c r="F154" s="17"/>
      <c r="G154" s="18" t="str">
        <f aca="false">IF(OR(A154="",F154=""),"",IF(E154="USD",F154*Settings!$B$6,F154))</f>
        <v/>
      </c>
      <c r="H154" s="19" t="str">
        <f aca="false">IF(OR(A154="",F154=""),"",IF(E154="USD",F154,F154/Settings!$B$6))</f>
        <v/>
      </c>
      <c r="I154" s="20" t="str">
        <f aca="false">IF(A154="","",DATE(YEAR(A154),MONTH(A154),1))</f>
        <v/>
      </c>
    </row>
    <row r="155" customFormat="false" ht="15" hidden="false" customHeight="false" outlineLevel="0" collapsed="false">
      <c r="A155" s="15"/>
      <c r="B155" s="16"/>
      <c r="C155" s="16"/>
      <c r="D155" s="16"/>
      <c r="E155" s="16"/>
      <c r="F155" s="17"/>
      <c r="G155" s="18" t="str">
        <f aca="false">IF(OR(A155="",F155=""),"",IF(E155="USD",F155*Settings!$B$6,F155))</f>
        <v/>
      </c>
      <c r="H155" s="19" t="str">
        <f aca="false">IF(OR(A155="",F155=""),"",IF(E155="USD",F155,F155/Settings!$B$6))</f>
        <v/>
      </c>
      <c r="I155" s="20" t="str">
        <f aca="false">IF(A155="","",DATE(YEAR(A155),MONTH(A155),1))</f>
        <v/>
      </c>
    </row>
    <row r="156" customFormat="false" ht="15" hidden="false" customHeight="false" outlineLevel="0" collapsed="false">
      <c r="A156" s="15"/>
      <c r="B156" s="16"/>
      <c r="C156" s="16"/>
      <c r="D156" s="16"/>
      <c r="E156" s="16"/>
      <c r="F156" s="17"/>
      <c r="G156" s="18" t="str">
        <f aca="false">IF(OR(A156="",F156=""),"",IF(E156="USD",F156*Settings!$B$6,F156))</f>
        <v/>
      </c>
      <c r="H156" s="19" t="str">
        <f aca="false">IF(OR(A156="",F156=""),"",IF(E156="USD",F156,F156/Settings!$B$6))</f>
        <v/>
      </c>
      <c r="I156" s="20" t="str">
        <f aca="false">IF(A156="","",DATE(YEAR(A156),MONTH(A156),1))</f>
        <v/>
      </c>
    </row>
    <row r="157" customFormat="false" ht="15" hidden="false" customHeight="false" outlineLevel="0" collapsed="false">
      <c r="A157" s="15"/>
      <c r="B157" s="16"/>
      <c r="C157" s="16"/>
      <c r="D157" s="16"/>
      <c r="E157" s="16"/>
      <c r="F157" s="17"/>
      <c r="G157" s="18" t="str">
        <f aca="false">IF(OR(A157="",F157=""),"",IF(E157="USD",F157*Settings!$B$6,F157))</f>
        <v/>
      </c>
      <c r="H157" s="19" t="str">
        <f aca="false">IF(OR(A157="",F157=""),"",IF(E157="USD",F157,F157/Settings!$B$6))</f>
        <v/>
      </c>
      <c r="I157" s="20" t="str">
        <f aca="false">IF(A157="","",DATE(YEAR(A157),MONTH(A157),1))</f>
        <v/>
      </c>
    </row>
    <row r="158" customFormat="false" ht="15" hidden="false" customHeight="false" outlineLevel="0" collapsed="false">
      <c r="A158" s="15"/>
      <c r="B158" s="16"/>
      <c r="C158" s="16"/>
      <c r="D158" s="16"/>
      <c r="E158" s="16"/>
      <c r="F158" s="17"/>
      <c r="G158" s="18" t="str">
        <f aca="false">IF(OR(A158="",F158=""),"",IF(E158="USD",F158*Settings!$B$6,F158))</f>
        <v/>
      </c>
      <c r="H158" s="19" t="str">
        <f aca="false">IF(OR(A158="",F158=""),"",IF(E158="USD",F158,F158/Settings!$B$6))</f>
        <v/>
      </c>
      <c r="I158" s="20" t="str">
        <f aca="false">IF(A158="","",DATE(YEAR(A158),MONTH(A158),1))</f>
        <v/>
      </c>
    </row>
    <row r="159" customFormat="false" ht="15" hidden="false" customHeight="false" outlineLevel="0" collapsed="false">
      <c r="A159" s="15"/>
      <c r="B159" s="16"/>
      <c r="C159" s="16"/>
      <c r="D159" s="16"/>
      <c r="E159" s="16"/>
      <c r="F159" s="17"/>
      <c r="G159" s="18" t="str">
        <f aca="false">IF(OR(A159="",F159=""),"",IF(E159="USD",F159*Settings!$B$6,F159))</f>
        <v/>
      </c>
      <c r="H159" s="19" t="str">
        <f aca="false">IF(OR(A159="",F159=""),"",IF(E159="USD",F159,F159/Settings!$B$6))</f>
        <v/>
      </c>
      <c r="I159" s="20" t="str">
        <f aca="false">IF(A159="","",DATE(YEAR(A159),MONTH(A159),1))</f>
        <v/>
      </c>
    </row>
    <row r="160" customFormat="false" ht="15" hidden="false" customHeight="false" outlineLevel="0" collapsed="false">
      <c r="A160" s="15"/>
      <c r="B160" s="16"/>
      <c r="C160" s="16"/>
      <c r="D160" s="16"/>
      <c r="E160" s="16"/>
      <c r="F160" s="17"/>
      <c r="G160" s="18" t="str">
        <f aca="false">IF(OR(A160="",F160=""),"",IF(E160="USD",F160*Settings!$B$6,F160))</f>
        <v/>
      </c>
      <c r="H160" s="19" t="str">
        <f aca="false">IF(OR(A160="",F160=""),"",IF(E160="USD",F160,F160/Settings!$B$6))</f>
        <v/>
      </c>
      <c r="I160" s="20" t="str">
        <f aca="false">IF(A160="","",DATE(YEAR(A160),MONTH(A160),1))</f>
        <v/>
      </c>
    </row>
    <row r="161" customFormat="false" ht="15" hidden="false" customHeight="false" outlineLevel="0" collapsed="false">
      <c r="A161" s="15"/>
      <c r="B161" s="16"/>
      <c r="C161" s="16"/>
      <c r="D161" s="16"/>
      <c r="E161" s="16"/>
      <c r="F161" s="17"/>
      <c r="G161" s="18" t="str">
        <f aca="false">IF(OR(A161="",F161=""),"",IF(E161="USD",F161*Settings!$B$6,F161))</f>
        <v/>
      </c>
      <c r="H161" s="19" t="str">
        <f aca="false">IF(OR(A161="",F161=""),"",IF(E161="USD",F161,F161/Settings!$B$6))</f>
        <v/>
      </c>
      <c r="I161" s="20" t="str">
        <f aca="false">IF(A161="","",DATE(YEAR(A161),MONTH(A161),1))</f>
        <v/>
      </c>
    </row>
    <row r="162" customFormat="false" ht="15" hidden="false" customHeight="false" outlineLevel="0" collapsed="false">
      <c r="A162" s="15"/>
      <c r="B162" s="16"/>
      <c r="C162" s="16"/>
      <c r="D162" s="16"/>
      <c r="E162" s="16"/>
      <c r="F162" s="17"/>
      <c r="G162" s="18" t="str">
        <f aca="false">IF(OR(A162="",F162=""),"",IF(E162="USD",F162*Settings!$B$6,F162))</f>
        <v/>
      </c>
      <c r="H162" s="19" t="str">
        <f aca="false">IF(OR(A162="",F162=""),"",IF(E162="USD",F162,F162/Settings!$B$6))</f>
        <v/>
      </c>
      <c r="I162" s="20" t="str">
        <f aca="false">IF(A162="","",DATE(YEAR(A162),MONTH(A162),1))</f>
        <v/>
      </c>
    </row>
    <row r="163" customFormat="false" ht="15" hidden="false" customHeight="false" outlineLevel="0" collapsed="false">
      <c r="A163" s="15"/>
      <c r="B163" s="16"/>
      <c r="C163" s="16"/>
      <c r="D163" s="16"/>
      <c r="E163" s="16"/>
      <c r="F163" s="17"/>
      <c r="G163" s="18" t="str">
        <f aca="false">IF(OR(A163="",F163=""),"",IF(E163="USD",F163*Settings!$B$6,F163))</f>
        <v/>
      </c>
      <c r="H163" s="19" t="str">
        <f aca="false">IF(OR(A163="",F163=""),"",IF(E163="USD",F163,F163/Settings!$B$6))</f>
        <v/>
      </c>
      <c r="I163" s="20" t="str">
        <f aca="false">IF(A163="","",DATE(YEAR(A163),MONTH(A163),1))</f>
        <v/>
      </c>
    </row>
    <row r="164" customFormat="false" ht="15" hidden="false" customHeight="false" outlineLevel="0" collapsed="false">
      <c r="A164" s="15"/>
      <c r="B164" s="16"/>
      <c r="C164" s="16"/>
      <c r="D164" s="16"/>
      <c r="E164" s="16"/>
      <c r="F164" s="17"/>
      <c r="G164" s="18" t="str">
        <f aca="false">IF(OR(A164="",F164=""),"",IF(E164="USD",F164*Settings!$B$6,F164))</f>
        <v/>
      </c>
      <c r="H164" s="19" t="str">
        <f aca="false">IF(OR(A164="",F164=""),"",IF(E164="USD",F164,F164/Settings!$B$6))</f>
        <v/>
      </c>
      <c r="I164" s="20" t="str">
        <f aca="false">IF(A164="","",DATE(YEAR(A164),MONTH(A164),1))</f>
        <v/>
      </c>
    </row>
    <row r="165" customFormat="false" ht="15" hidden="false" customHeight="false" outlineLevel="0" collapsed="false">
      <c r="A165" s="15"/>
      <c r="B165" s="16"/>
      <c r="C165" s="16"/>
      <c r="D165" s="16"/>
      <c r="E165" s="16"/>
      <c r="F165" s="17"/>
      <c r="G165" s="18" t="str">
        <f aca="false">IF(OR(A165="",F165=""),"",IF(E165="USD",F165*Settings!$B$6,F165))</f>
        <v/>
      </c>
      <c r="H165" s="19" t="str">
        <f aca="false">IF(OR(A165="",F165=""),"",IF(E165="USD",F165,F165/Settings!$B$6))</f>
        <v/>
      </c>
      <c r="I165" s="20" t="str">
        <f aca="false">IF(A165="","",DATE(YEAR(A165),MONTH(A165),1))</f>
        <v/>
      </c>
    </row>
    <row r="166" customFormat="false" ht="15" hidden="false" customHeight="false" outlineLevel="0" collapsed="false">
      <c r="A166" s="15"/>
      <c r="B166" s="16"/>
      <c r="C166" s="16"/>
      <c r="D166" s="16"/>
      <c r="E166" s="16"/>
      <c r="F166" s="17"/>
      <c r="G166" s="18" t="str">
        <f aca="false">IF(OR(A166="",F166=""),"",IF(E166="USD",F166*Settings!$B$6,F166))</f>
        <v/>
      </c>
      <c r="H166" s="19" t="str">
        <f aca="false">IF(OR(A166="",F166=""),"",IF(E166="USD",F166,F166/Settings!$B$6))</f>
        <v/>
      </c>
      <c r="I166" s="20" t="str">
        <f aca="false">IF(A166="","",DATE(YEAR(A166),MONTH(A166),1))</f>
        <v/>
      </c>
    </row>
    <row r="167" customFormat="false" ht="15" hidden="false" customHeight="false" outlineLevel="0" collapsed="false">
      <c r="A167" s="15"/>
      <c r="B167" s="16"/>
      <c r="C167" s="16"/>
      <c r="D167" s="16"/>
      <c r="E167" s="16"/>
      <c r="F167" s="17"/>
      <c r="G167" s="18" t="str">
        <f aca="false">IF(OR(A167="",F167=""),"",IF(E167="USD",F167*Settings!$B$6,F167))</f>
        <v/>
      </c>
      <c r="H167" s="19" t="str">
        <f aca="false">IF(OR(A167="",F167=""),"",IF(E167="USD",F167,F167/Settings!$B$6))</f>
        <v/>
      </c>
      <c r="I167" s="20" t="str">
        <f aca="false">IF(A167="","",DATE(YEAR(A167),MONTH(A167),1))</f>
        <v/>
      </c>
    </row>
    <row r="168" customFormat="false" ht="15" hidden="false" customHeight="false" outlineLevel="0" collapsed="false">
      <c r="A168" s="15"/>
      <c r="B168" s="16"/>
      <c r="C168" s="16"/>
      <c r="D168" s="16"/>
      <c r="E168" s="16"/>
      <c r="F168" s="17"/>
      <c r="G168" s="18" t="str">
        <f aca="false">IF(OR(A168="",F168=""),"",IF(E168="USD",F168*Settings!$B$6,F168))</f>
        <v/>
      </c>
      <c r="H168" s="19" t="str">
        <f aca="false">IF(OR(A168="",F168=""),"",IF(E168="USD",F168,F168/Settings!$B$6))</f>
        <v/>
      </c>
      <c r="I168" s="20" t="str">
        <f aca="false">IF(A168="","",DATE(YEAR(A168),MONTH(A168),1))</f>
        <v/>
      </c>
    </row>
    <row r="169" customFormat="false" ht="15" hidden="false" customHeight="false" outlineLevel="0" collapsed="false">
      <c r="A169" s="15"/>
      <c r="B169" s="16"/>
      <c r="C169" s="16"/>
      <c r="D169" s="16"/>
      <c r="E169" s="16"/>
      <c r="F169" s="17"/>
      <c r="G169" s="18" t="str">
        <f aca="false">IF(OR(A169="",F169=""),"",IF(E169="USD",F169*Settings!$B$6,F169))</f>
        <v/>
      </c>
      <c r="H169" s="19" t="str">
        <f aca="false">IF(OR(A169="",F169=""),"",IF(E169="USD",F169,F169/Settings!$B$6))</f>
        <v/>
      </c>
      <c r="I169" s="20" t="str">
        <f aca="false">IF(A169="","",DATE(YEAR(A169),MONTH(A169),1))</f>
        <v/>
      </c>
    </row>
    <row r="170" customFormat="false" ht="15" hidden="false" customHeight="false" outlineLevel="0" collapsed="false">
      <c r="A170" s="15"/>
      <c r="B170" s="16"/>
      <c r="C170" s="16"/>
      <c r="D170" s="16"/>
      <c r="E170" s="16"/>
      <c r="F170" s="17"/>
      <c r="G170" s="18" t="str">
        <f aca="false">IF(OR(A170="",F170=""),"",IF(E170="USD",F170*Settings!$B$6,F170))</f>
        <v/>
      </c>
      <c r="H170" s="19" t="str">
        <f aca="false">IF(OR(A170="",F170=""),"",IF(E170="USD",F170,F170/Settings!$B$6))</f>
        <v/>
      </c>
      <c r="I170" s="20" t="str">
        <f aca="false">IF(A170="","",DATE(YEAR(A170),MONTH(A170),1))</f>
        <v/>
      </c>
    </row>
    <row r="171" customFormat="false" ht="15" hidden="false" customHeight="false" outlineLevel="0" collapsed="false">
      <c r="A171" s="15"/>
      <c r="B171" s="16"/>
      <c r="C171" s="16"/>
      <c r="D171" s="16"/>
      <c r="E171" s="16"/>
      <c r="F171" s="17"/>
      <c r="G171" s="18" t="str">
        <f aca="false">IF(OR(A171="",F171=""),"",IF(E171="USD",F171*Settings!$B$6,F171))</f>
        <v/>
      </c>
      <c r="H171" s="19" t="str">
        <f aca="false">IF(OR(A171="",F171=""),"",IF(E171="USD",F171,F171/Settings!$B$6))</f>
        <v/>
      </c>
      <c r="I171" s="20" t="str">
        <f aca="false">IF(A171="","",DATE(YEAR(A171),MONTH(A171),1))</f>
        <v/>
      </c>
    </row>
    <row r="172" customFormat="false" ht="15" hidden="false" customHeight="false" outlineLevel="0" collapsed="false">
      <c r="A172" s="15"/>
      <c r="B172" s="16"/>
      <c r="C172" s="16"/>
      <c r="D172" s="16"/>
      <c r="E172" s="16"/>
      <c r="F172" s="17"/>
      <c r="G172" s="18" t="str">
        <f aca="false">IF(OR(A172="",F172=""),"",IF(E172="USD",F172*Settings!$B$6,F172))</f>
        <v/>
      </c>
      <c r="H172" s="19" t="str">
        <f aca="false">IF(OR(A172="",F172=""),"",IF(E172="USD",F172,F172/Settings!$B$6))</f>
        <v/>
      </c>
      <c r="I172" s="20" t="str">
        <f aca="false">IF(A172="","",DATE(YEAR(A172),MONTH(A172),1))</f>
        <v/>
      </c>
    </row>
    <row r="173" customFormat="false" ht="15" hidden="false" customHeight="false" outlineLevel="0" collapsed="false">
      <c r="A173" s="15"/>
      <c r="B173" s="16"/>
      <c r="C173" s="16"/>
      <c r="D173" s="16"/>
      <c r="E173" s="16"/>
      <c r="F173" s="17"/>
      <c r="G173" s="18" t="str">
        <f aca="false">IF(OR(A173="",F173=""),"",IF(E173="USD",F173*Settings!$B$6,F173))</f>
        <v/>
      </c>
      <c r="H173" s="19" t="str">
        <f aca="false">IF(OR(A173="",F173=""),"",IF(E173="USD",F173,F173/Settings!$B$6))</f>
        <v/>
      </c>
      <c r="I173" s="20" t="str">
        <f aca="false">IF(A173="","",DATE(YEAR(A173),MONTH(A173),1))</f>
        <v/>
      </c>
    </row>
    <row r="174" customFormat="false" ht="15" hidden="false" customHeight="false" outlineLevel="0" collapsed="false">
      <c r="A174" s="15"/>
      <c r="B174" s="16"/>
      <c r="C174" s="16"/>
      <c r="D174" s="16"/>
      <c r="E174" s="16"/>
      <c r="F174" s="17"/>
      <c r="G174" s="18" t="str">
        <f aca="false">IF(OR(A174="",F174=""),"",IF(E174="USD",F174*Settings!$B$6,F174))</f>
        <v/>
      </c>
      <c r="H174" s="19" t="str">
        <f aca="false">IF(OR(A174="",F174=""),"",IF(E174="USD",F174,F174/Settings!$B$6))</f>
        <v/>
      </c>
      <c r="I174" s="20" t="str">
        <f aca="false">IF(A174="","",DATE(YEAR(A174),MONTH(A174),1))</f>
        <v/>
      </c>
    </row>
    <row r="175" customFormat="false" ht="15" hidden="false" customHeight="false" outlineLevel="0" collapsed="false">
      <c r="A175" s="15"/>
      <c r="B175" s="16"/>
      <c r="C175" s="16"/>
      <c r="D175" s="16"/>
      <c r="E175" s="16"/>
      <c r="F175" s="17"/>
      <c r="G175" s="18" t="str">
        <f aca="false">IF(OR(A175="",F175=""),"",IF(E175="USD",F175*Settings!$B$6,F175))</f>
        <v/>
      </c>
      <c r="H175" s="19" t="str">
        <f aca="false">IF(OR(A175="",F175=""),"",IF(E175="USD",F175,F175/Settings!$B$6))</f>
        <v/>
      </c>
      <c r="I175" s="20" t="str">
        <f aca="false">IF(A175="","",DATE(YEAR(A175),MONTH(A175),1))</f>
        <v/>
      </c>
    </row>
    <row r="176" customFormat="false" ht="15" hidden="false" customHeight="false" outlineLevel="0" collapsed="false">
      <c r="A176" s="15"/>
      <c r="B176" s="16"/>
      <c r="C176" s="16"/>
      <c r="D176" s="16"/>
      <c r="E176" s="16"/>
      <c r="F176" s="17"/>
      <c r="G176" s="18" t="str">
        <f aca="false">IF(OR(A176="",F176=""),"",IF(E176="USD",F176*Settings!$B$6,F176))</f>
        <v/>
      </c>
      <c r="H176" s="19" t="str">
        <f aca="false">IF(OR(A176="",F176=""),"",IF(E176="USD",F176,F176/Settings!$B$6))</f>
        <v/>
      </c>
      <c r="I176" s="20" t="str">
        <f aca="false">IF(A176="","",DATE(YEAR(A176),MONTH(A176),1))</f>
        <v/>
      </c>
    </row>
    <row r="177" customFormat="false" ht="15" hidden="false" customHeight="false" outlineLevel="0" collapsed="false">
      <c r="A177" s="15"/>
      <c r="B177" s="16"/>
      <c r="C177" s="16"/>
      <c r="D177" s="16"/>
      <c r="E177" s="16"/>
      <c r="F177" s="17"/>
      <c r="G177" s="18" t="str">
        <f aca="false">IF(OR(A177="",F177=""),"",IF(E177="USD",F177*Settings!$B$6,F177))</f>
        <v/>
      </c>
      <c r="H177" s="19" t="str">
        <f aca="false">IF(OR(A177="",F177=""),"",IF(E177="USD",F177,F177/Settings!$B$6))</f>
        <v/>
      </c>
      <c r="I177" s="20" t="str">
        <f aca="false">IF(A177="","",DATE(YEAR(A177),MONTH(A177),1))</f>
        <v/>
      </c>
    </row>
    <row r="178" customFormat="false" ht="15" hidden="false" customHeight="false" outlineLevel="0" collapsed="false">
      <c r="A178" s="15"/>
      <c r="B178" s="16"/>
      <c r="C178" s="16"/>
      <c r="D178" s="16"/>
      <c r="E178" s="16"/>
      <c r="F178" s="17"/>
      <c r="G178" s="18" t="str">
        <f aca="false">IF(OR(A178="",F178=""),"",IF(E178="USD",F178*Settings!$B$6,F178))</f>
        <v/>
      </c>
      <c r="H178" s="19" t="str">
        <f aca="false">IF(OR(A178="",F178=""),"",IF(E178="USD",F178,F178/Settings!$B$6))</f>
        <v/>
      </c>
      <c r="I178" s="20" t="str">
        <f aca="false">IF(A178="","",DATE(YEAR(A178),MONTH(A178),1))</f>
        <v/>
      </c>
    </row>
    <row r="179" customFormat="false" ht="15" hidden="false" customHeight="false" outlineLevel="0" collapsed="false">
      <c r="A179" s="15"/>
      <c r="B179" s="16"/>
      <c r="C179" s="16"/>
      <c r="D179" s="16"/>
      <c r="E179" s="16"/>
      <c r="F179" s="17"/>
      <c r="G179" s="18" t="str">
        <f aca="false">IF(OR(A179="",F179=""),"",IF(E179="USD",F179*Settings!$B$6,F179))</f>
        <v/>
      </c>
      <c r="H179" s="19" t="str">
        <f aca="false">IF(OR(A179="",F179=""),"",IF(E179="USD",F179,F179/Settings!$B$6))</f>
        <v/>
      </c>
      <c r="I179" s="20" t="str">
        <f aca="false">IF(A179="","",DATE(YEAR(A179),MONTH(A179),1))</f>
        <v/>
      </c>
    </row>
    <row r="180" customFormat="false" ht="15" hidden="false" customHeight="false" outlineLevel="0" collapsed="false">
      <c r="A180" s="15"/>
      <c r="B180" s="16"/>
      <c r="C180" s="16"/>
      <c r="D180" s="16"/>
      <c r="E180" s="16"/>
      <c r="F180" s="17"/>
      <c r="G180" s="18" t="str">
        <f aca="false">IF(OR(A180="",F180=""),"",IF(E180="USD",F180*Settings!$B$6,F180))</f>
        <v/>
      </c>
      <c r="H180" s="19" t="str">
        <f aca="false">IF(OR(A180="",F180=""),"",IF(E180="USD",F180,F180/Settings!$B$6))</f>
        <v/>
      </c>
      <c r="I180" s="20" t="str">
        <f aca="false">IF(A180="","",DATE(YEAR(A180),MONTH(A180),1))</f>
        <v/>
      </c>
    </row>
    <row r="181" customFormat="false" ht="15" hidden="false" customHeight="false" outlineLevel="0" collapsed="false">
      <c r="A181" s="15"/>
      <c r="B181" s="16"/>
      <c r="C181" s="16"/>
      <c r="D181" s="16"/>
      <c r="E181" s="16"/>
      <c r="F181" s="17"/>
      <c r="G181" s="18" t="str">
        <f aca="false">IF(OR(A181="",F181=""),"",IF(E181="USD",F181*Settings!$B$6,F181))</f>
        <v/>
      </c>
      <c r="H181" s="19" t="str">
        <f aca="false">IF(OR(A181="",F181=""),"",IF(E181="USD",F181,F181/Settings!$B$6))</f>
        <v/>
      </c>
      <c r="I181" s="20" t="str">
        <f aca="false">IF(A181="","",DATE(YEAR(A181),MONTH(A181),1))</f>
        <v/>
      </c>
    </row>
    <row r="182" customFormat="false" ht="15" hidden="false" customHeight="false" outlineLevel="0" collapsed="false">
      <c r="A182" s="15"/>
      <c r="B182" s="16"/>
      <c r="C182" s="16"/>
      <c r="D182" s="16"/>
      <c r="E182" s="16"/>
      <c r="F182" s="17"/>
      <c r="G182" s="18" t="str">
        <f aca="false">IF(OR(A182="",F182=""),"",IF(E182="USD",F182*Settings!$B$6,F182))</f>
        <v/>
      </c>
      <c r="H182" s="19" t="str">
        <f aca="false">IF(OR(A182="",F182=""),"",IF(E182="USD",F182,F182/Settings!$B$6))</f>
        <v/>
      </c>
      <c r="I182" s="20" t="str">
        <f aca="false">IF(A182="","",DATE(YEAR(A182),MONTH(A182),1))</f>
        <v/>
      </c>
    </row>
    <row r="183" customFormat="false" ht="15" hidden="false" customHeight="false" outlineLevel="0" collapsed="false">
      <c r="A183" s="15"/>
      <c r="B183" s="16"/>
      <c r="C183" s="16"/>
      <c r="D183" s="16"/>
      <c r="E183" s="16"/>
      <c r="F183" s="17"/>
      <c r="G183" s="18" t="str">
        <f aca="false">IF(OR(A183="",F183=""),"",IF(E183="USD",F183*Settings!$B$6,F183))</f>
        <v/>
      </c>
      <c r="H183" s="19" t="str">
        <f aca="false">IF(OR(A183="",F183=""),"",IF(E183="USD",F183,F183/Settings!$B$6))</f>
        <v/>
      </c>
      <c r="I183" s="20" t="str">
        <f aca="false">IF(A183="","",DATE(YEAR(A183),MONTH(A183),1))</f>
        <v/>
      </c>
    </row>
    <row r="184" customFormat="false" ht="15" hidden="false" customHeight="false" outlineLevel="0" collapsed="false">
      <c r="A184" s="15"/>
      <c r="B184" s="16"/>
      <c r="C184" s="16"/>
      <c r="D184" s="16"/>
      <c r="E184" s="16"/>
      <c r="F184" s="17"/>
      <c r="G184" s="18" t="str">
        <f aca="false">IF(OR(A184="",F184=""),"",IF(E184="USD",F184*Settings!$B$6,F184))</f>
        <v/>
      </c>
      <c r="H184" s="19" t="str">
        <f aca="false">IF(OR(A184="",F184=""),"",IF(E184="USD",F184,F184/Settings!$B$6))</f>
        <v/>
      </c>
      <c r="I184" s="20" t="str">
        <f aca="false">IF(A184="","",DATE(YEAR(A184),MONTH(A184),1))</f>
        <v/>
      </c>
    </row>
    <row r="185" customFormat="false" ht="15" hidden="false" customHeight="false" outlineLevel="0" collapsed="false">
      <c r="A185" s="15"/>
      <c r="B185" s="16"/>
      <c r="C185" s="16"/>
      <c r="D185" s="16"/>
      <c r="E185" s="16"/>
      <c r="F185" s="17"/>
      <c r="G185" s="18" t="str">
        <f aca="false">IF(OR(A185="",F185=""),"",IF(E185="USD",F185*Settings!$B$6,F185))</f>
        <v/>
      </c>
      <c r="H185" s="19" t="str">
        <f aca="false">IF(OR(A185="",F185=""),"",IF(E185="USD",F185,F185/Settings!$B$6))</f>
        <v/>
      </c>
      <c r="I185" s="20" t="str">
        <f aca="false">IF(A185="","",DATE(YEAR(A185),MONTH(A185),1))</f>
        <v/>
      </c>
    </row>
    <row r="186" customFormat="false" ht="15" hidden="false" customHeight="false" outlineLevel="0" collapsed="false">
      <c r="A186" s="15"/>
      <c r="B186" s="16"/>
      <c r="C186" s="16"/>
      <c r="D186" s="16"/>
      <c r="E186" s="16"/>
      <c r="F186" s="17"/>
      <c r="G186" s="18" t="str">
        <f aca="false">IF(OR(A186="",F186=""),"",IF(E186="USD",F186*Settings!$B$6,F186))</f>
        <v/>
      </c>
      <c r="H186" s="19" t="str">
        <f aca="false">IF(OR(A186="",F186=""),"",IF(E186="USD",F186,F186/Settings!$B$6))</f>
        <v/>
      </c>
      <c r="I186" s="20" t="str">
        <f aca="false">IF(A186="","",DATE(YEAR(A186),MONTH(A186),1))</f>
        <v/>
      </c>
    </row>
    <row r="187" customFormat="false" ht="15" hidden="false" customHeight="false" outlineLevel="0" collapsed="false">
      <c r="A187" s="15"/>
      <c r="B187" s="16"/>
      <c r="C187" s="16"/>
      <c r="D187" s="16"/>
      <c r="E187" s="16"/>
      <c r="F187" s="17"/>
      <c r="G187" s="18" t="str">
        <f aca="false">IF(OR(A187="",F187=""),"",IF(E187="USD",F187*Settings!$B$6,F187))</f>
        <v/>
      </c>
      <c r="H187" s="19" t="str">
        <f aca="false">IF(OR(A187="",F187=""),"",IF(E187="USD",F187,F187/Settings!$B$6))</f>
        <v/>
      </c>
      <c r="I187" s="20" t="str">
        <f aca="false">IF(A187="","",DATE(YEAR(A187),MONTH(A187),1))</f>
        <v/>
      </c>
    </row>
    <row r="188" customFormat="false" ht="15" hidden="false" customHeight="false" outlineLevel="0" collapsed="false">
      <c r="A188" s="15"/>
      <c r="B188" s="16"/>
      <c r="C188" s="16"/>
      <c r="D188" s="16"/>
      <c r="E188" s="16"/>
      <c r="F188" s="17"/>
      <c r="G188" s="18" t="str">
        <f aca="false">IF(OR(A188="",F188=""),"",IF(E188="USD",F188*Settings!$B$6,F188))</f>
        <v/>
      </c>
      <c r="H188" s="19" t="str">
        <f aca="false">IF(OR(A188="",F188=""),"",IF(E188="USD",F188,F188/Settings!$B$6))</f>
        <v/>
      </c>
      <c r="I188" s="20" t="str">
        <f aca="false">IF(A188="","",DATE(YEAR(A188),MONTH(A188),1))</f>
        <v/>
      </c>
    </row>
    <row r="189" customFormat="false" ht="15" hidden="false" customHeight="false" outlineLevel="0" collapsed="false">
      <c r="A189" s="15"/>
      <c r="B189" s="16"/>
      <c r="C189" s="16"/>
      <c r="D189" s="16"/>
      <c r="E189" s="16"/>
      <c r="F189" s="17"/>
      <c r="G189" s="18" t="str">
        <f aca="false">IF(OR(A189="",F189=""),"",IF(E189="USD",F189*Settings!$B$6,F189))</f>
        <v/>
      </c>
      <c r="H189" s="19" t="str">
        <f aca="false">IF(OR(A189="",F189=""),"",IF(E189="USD",F189,F189/Settings!$B$6))</f>
        <v/>
      </c>
      <c r="I189" s="20" t="str">
        <f aca="false">IF(A189="","",DATE(YEAR(A189),MONTH(A189),1))</f>
        <v/>
      </c>
    </row>
    <row r="190" customFormat="false" ht="15" hidden="false" customHeight="false" outlineLevel="0" collapsed="false">
      <c r="A190" s="15"/>
      <c r="B190" s="16"/>
      <c r="C190" s="16"/>
      <c r="D190" s="16"/>
      <c r="E190" s="16"/>
      <c r="F190" s="17"/>
      <c r="G190" s="18" t="str">
        <f aca="false">IF(OR(A190="",F190=""),"",IF(E190="USD",F190*Settings!$B$6,F190))</f>
        <v/>
      </c>
      <c r="H190" s="19" t="str">
        <f aca="false">IF(OR(A190="",F190=""),"",IF(E190="USD",F190,F190/Settings!$B$6))</f>
        <v/>
      </c>
      <c r="I190" s="20" t="str">
        <f aca="false">IF(A190="","",DATE(YEAR(A190),MONTH(A190),1))</f>
        <v/>
      </c>
    </row>
    <row r="191" customFormat="false" ht="15" hidden="false" customHeight="false" outlineLevel="0" collapsed="false">
      <c r="A191" s="15"/>
      <c r="B191" s="16"/>
      <c r="C191" s="16"/>
      <c r="D191" s="16"/>
      <c r="E191" s="16"/>
      <c r="F191" s="17"/>
      <c r="G191" s="18" t="str">
        <f aca="false">IF(OR(A191="",F191=""),"",IF(E191="USD",F191*Settings!$B$6,F191))</f>
        <v/>
      </c>
      <c r="H191" s="19" t="str">
        <f aca="false">IF(OR(A191="",F191=""),"",IF(E191="USD",F191,F191/Settings!$B$6))</f>
        <v/>
      </c>
      <c r="I191" s="20" t="str">
        <f aca="false">IF(A191="","",DATE(YEAR(A191),MONTH(A191),1))</f>
        <v/>
      </c>
    </row>
    <row r="192" customFormat="false" ht="15" hidden="false" customHeight="false" outlineLevel="0" collapsed="false">
      <c r="A192" s="15"/>
      <c r="B192" s="16"/>
      <c r="C192" s="16"/>
      <c r="D192" s="16"/>
      <c r="E192" s="16"/>
      <c r="F192" s="17"/>
      <c r="G192" s="18" t="str">
        <f aca="false">IF(OR(A192="",F192=""),"",IF(E192="USD",F192*Settings!$B$6,F192))</f>
        <v/>
      </c>
      <c r="H192" s="19" t="str">
        <f aca="false">IF(OR(A192="",F192=""),"",IF(E192="USD",F192,F192/Settings!$B$6))</f>
        <v/>
      </c>
      <c r="I192" s="20" t="str">
        <f aca="false">IF(A192="","",DATE(YEAR(A192),MONTH(A192),1))</f>
        <v/>
      </c>
    </row>
    <row r="193" customFormat="false" ht="15" hidden="false" customHeight="false" outlineLevel="0" collapsed="false">
      <c r="A193" s="15"/>
      <c r="B193" s="16"/>
      <c r="C193" s="16"/>
      <c r="D193" s="16"/>
      <c r="E193" s="16"/>
      <c r="F193" s="17"/>
      <c r="G193" s="18" t="str">
        <f aca="false">IF(OR(A193="",F193=""),"",IF(E193="USD",F193*Settings!$B$6,F193))</f>
        <v/>
      </c>
      <c r="H193" s="19" t="str">
        <f aca="false">IF(OR(A193="",F193=""),"",IF(E193="USD",F193,F193/Settings!$B$6))</f>
        <v/>
      </c>
      <c r="I193" s="20" t="str">
        <f aca="false">IF(A193="","",DATE(YEAR(A193),MONTH(A193),1))</f>
        <v/>
      </c>
    </row>
    <row r="194" customFormat="false" ht="15" hidden="false" customHeight="false" outlineLevel="0" collapsed="false">
      <c r="A194" s="15"/>
      <c r="B194" s="16"/>
      <c r="C194" s="16"/>
      <c r="D194" s="16"/>
      <c r="E194" s="16"/>
      <c r="F194" s="17"/>
      <c r="G194" s="18" t="str">
        <f aca="false">IF(OR(A194="",F194=""),"",IF(E194="USD",F194*Settings!$B$6,F194))</f>
        <v/>
      </c>
      <c r="H194" s="19" t="str">
        <f aca="false">IF(OR(A194="",F194=""),"",IF(E194="USD",F194,F194/Settings!$B$6))</f>
        <v/>
      </c>
      <c r="I194" s="20" t="str">
        <f aca="false">IF(A194="","",DATE(YEAR(A194),MONTH(A194),1))</f>
        <v/>
      </c>
    </row>
    <row r="195" customFormat="false" ht="15" hidden="false" customHeight="false" outlineLevel="0" collapsed="false">
      <c r="A195" s="15"/>
      <c r="B195" s="16"/>
      <c r="C195" s="16"/>
      <c r="D195" s="16"/>
      <c r="E195" s="16"/>
      <c r="F195" s="17"/>
      <c r="G195" s="18" t="str">
        <f aca="false">IF(OR(A195="",F195=""),"",IF(E195="USD",F195*Settings!$B$6,F195))</f>
        <v/>
      </c>
      <c r="H195" s="19" t="str">
        <f aca="false">IF(OR(A195="",F195=""),"",IF(E195="USD",F195,F195/Settings!$B$6))</f>
        <v/>
      </c>
      <c r="I195" s="20" t="str">
        <f aca="false">IF(A195="","",DATE(YEAR(A195),MONTH(A195),1))</f>
        <v/>
      </c>
    </row>
    <row r="196" customFormat="false" ht="15" hidden="false" customHeight="false" outlineLevel="0" collapsed="false">
      <c r="A196" s="15"/>
      <c r="B196" s="16"/>
      <c r="C196" s="16"/>
      <c r="D196" s="16"/>
      <c r="E196" s="16"/>
      <c r="F196" s="17"/>
      <c r="G196" s="18" t="str">
        <f aca="false">IF(OR(A196="",F196=""),"",IF(E196="USD",F196*Settings!$B$6,F196))</f>
        <v/>
      </c>
      <c r="H196" s="19" t="str">
        <f aca="false">IF(OR(A196="",F196=""),"",IF(E196="USD",F196,F196/Settings!$B$6))</f>
        <v/>
      </c>
      <c r="I196" s="20" t="str">
        <f aca="false">IF(A196="","",DATE(YEAR(A196),MONTH(A196),1))</f>
        <v/>
      </c>
    </row>
    <row r="197" customFormat="false" ht="15" hidden="false" customHeight="false" outlineLevel="0" collapsed="false">
      <c r="A197" s="15"/>
      <c r="B197" s="16"/>
      <c r="C197" s="16"/>
      <c r="D197" s="16"/>
      <c r="E197" s="16"/>
      <c r="F197" s="17"/>
      <c r="G197" s="18" t="str">
        <f aca="false">IF(OR(A197="",F197=""),"",IF(E197="USD",F197*Settings!$B$6,F197))</f>
        <v/>
      </c>
      <c r="H197" s="19" t="str">
        <f aca="false">IF(OR(A197="",F197=""),"",IF(E197="USD",F197,F197/Settings!$B$6))</f>
        <v/>
      </c>
      <c r="I197" s="20" t="str">
        <f aca="false">IF(A197="","",DATE(YEAR(A197),MONTH(A197),1))</f>
        <v/>
      </c>
    </row>
    <row r="198" customFormat="false" ht="15" hidden="false" customHeight="false" outlineLevel="0" collapsed="false">
      <c r="A198" s="15"/>
      <c r="B198" s="16"/>
      <c r="C198" s="16"/>
      <c r="D198" s="16"/>
      <c r="E198" s="16"/>
      <c r="F198" s="17"/>
      <c r="G198" s="18" t="str">
        <f aca="false">IF(OR(A198="",F198=""),"",IF(E198="USD",F198*Settings!$B$6,F198))</f>
        <v/>
      </c>
      <c r="H198" s="19" t="str">
        <f aca="false">IF(OR(A198="",F198=""),"",IF(E198="USD",F198,F198/Settings!$B$6))</f>
        <v/>
      </c>
      <c r="I198" s="20" t="str">
        <f aca="false">IF(A198="","",DATE(YEAR(A198),MONTH(A198),1))</f>
        <v/>
      </c>
    </row>
    <row r="199" customFormat="false" ht="15" hidden="false" customHeight="false" outlineLevel="0" collapsed="false">
      <c r="A199" s="15"/>
      <c r="B199" s="16"/>
      <c r="C199" s="16"/>
      <c r="D199" s="16"/>
      <c r="E199" s="16"/>
      <c r="F199" s="17"/>
      <c r="G199" s="18" t="str">
        <f aca="false">IF(OR(A199="",F199=""),"",IF(E199="USD",F199*Settings!$B$6,F199))</f>
        <v/>
      </c>
      <c r="H199" s="19" t="str">
        <f aca="false">IF(OR(A199="",F199=""),"",IF(E199="USD",F199,F199/Settings!$B$6))</f>
        <v/>
      </c>
      <c r="I199" s="20" t="str">
        <f aca="false">IF(A199="","",DATE(YEAR(A199),MONTH(A199),1))</f>
        <v/>
      </c>
    </row>
    <row r="200" customFormat="false" ht="15" hidden="false" customHeight="false" outlineLevel="0" collapsed="false">
      <c r="A200" s="15"/>
      <c r="B200" s="16"/>
      <c r="C200" s="16"/>
      <c r="D200" s="16"/>
      <c r="E200" s="16"/>
      <c r="F200" s="17"/>
      <c r="G200" s="18" t="str">
        <f aca="false">IF(OR(A200="",F200=""),"",IF(E200="USD",F200*Settings!$B$6,F200))</f>
        <v/>
      </c>
      <c r="H200" s="19" t="str">
        <f aca="false">IF(OR(A200="",F200=""),"",IF(E200="USD",F200,F200/Settings!$B$6))</f>
        <v/>
      </c>
      <c r="I200" s="20" t="str">
        <f aca="false">IF(A200="","",DATE(YEAR(A200),MONTH(A200),1))</f>
        <v/>
      </c>
    </row>
    <row r="201" customFormat="false" ht="15" hidden="false" customHeight="false" outlineLevel="0" collapsed="false">
      <c r="A201" s="15"/>
      <c r="B201" s="16"/>
      <c r="C201" s="16"/>
      <c r="D201" s="16"/>
      <c r="E201" s="16"/>
      <c r="F201" s="17"/>
      <c r="G201" s="18" t="str">
        <f aca="false">IF(OR(A201="",F201=""),"",IF(E201="USD",F201*Settings!$B$6,F201))</f>
        <v/>
      </c>
      <c r="H201" s="19" t="str">
        <f aca="false">IF(OR(A201="",F201=""),"",IF(E201="USD",F201,F201/Settings!$B$6))</f>
        <v/>
      </c>
      <c r="I201" s="20" t="str">
        <f aca="false">IF(A201="","",DATE(YEAR(A201),MONTH(A201),1))</f>
        <v/>
      </c>
    </row>
    <row r="202" customFormat="false" ht="15" hidden="false" customHeight="false" outlineLevel="0" collapsed="false">
      <c r="A202" s="15"/>
      <c r="B202" s="16"/>
      <c r="C202" s="16"/>
      <c r="D202" s="16"/>
      <c r="E202" s="16"/>
      <c r="F202" s="17"/>
      <c r="G202" s="18" t="str">
        <f aca="false">IF(OR(A202="",F202=""),"",IF(E202="USD",F202*Settings!$B$6,F202))</f>
        <v/>
      </c>
      <c r="H202" s="19" t="str">
        <f aca="false">IF(OR(A202="",F202=""),"",IF(E202="USD",F202,F202/Settings!$B$6))</f>
        <v/>
      </c>
      <c r="I202" s="20" t="str">
        <f aca="false">IF(A202="","",DATE(YEAR(A202),MONTH(A202),1))</f>
        <v/>
      </c>
    </row>
    <row r="203" customFormat="false" ht="15" hidden="false" customHeight="false" outlineLevel="0" collapsed="false">
      <c r="A203" s="15"/>
      <c r="B203" s="16"/>
      <c r="C203" s="16"/>
      <c r="D203" s="16"/>
      <c r="E203" s="16"/>
      <c r="F203" s="17"/>
      <c r="G203" s="18" t="str">
        <f aca="false">IF(OR(A203="",F203=""),"",IF(E203="USD",F203*Settings!$B$6,F203))</f>
        <v/>
      </c>
      <c r="H203" s="19" t="str">
        <f aca="false">IF(OR(A203="",F203=""),"",IF(E203="USD",F203,F203/Settings!$B$6))</f>
        <v/>
      </c>
      <c r="I203" s="20" t="str">
        <f aca="false">IF(A203="","",DATE(YEAR(A203),MONTH(A203),1))</f>
        <v/>
      </c>
    </row>
    <row r="204" customFormat="false" ht="15" hidden="false" customHeight="false" outlineLevel="0" collapsed="false">
      <c r="A204" s="15"/>
      <c r="B204" s="16"/>
      <c r="C204" s="16"/>
      <c r="D204" s="16"/>
      <c r="E204" s="16"/>
      <c r="F204" s="17"/>
      <c r="G204" s="18" t="str">
        <f aca="false">IF(OR(A204="",F204=""),"",IF(E204="USD",F204*Settings!$B$6,F204))</f>
        <v/>
      </c>
      <c r="H204" s="19" t="str">
        <f aca="false">IF(OR(A204="",F204=""),"",IF(E204="USD",F204,F204/Settings!$B$6))</f>
        <v/>
      </c>
      <c r="I204" s="20" t="str">
        <f aca="false">IF(A204="","",DATE(YEAR(A204),MONTH(A204),1))</f>
        <v/>
      </c>
    </row>
    <row r="205" customFormat="false" ht="15" hidden="false" customHeight="false" outlineLevel="0" collapsed="false">
      <c r="A205" s="15"/>
      <c r="B205" s="16"/>
      <c r="C205" s="16"/>
      <c r="D205" s="16"/>
      <c r="E205" s="16"/>
      <c r="F205" s="17"/>
      <c r="G205" s="18" t="str">
        <f aca="false">IF(OR(A205="",F205=""),"",IF(E205="USD",F205*Settings!$B$6,F205))</f>
        <v/>
      </c>
      <c r="H205" s="19" t="str">
        <f aca="false">IF(OR(A205="",F205=""),"",IF(E205="USD",F205,F205/Settings!$B$6))</f>
        <v/>
      </c>
      <c r="I205" s="20" t="str">
        <f aca="false">IF(A205="","",DATE(YEAR(A205),MONTH(A205),1))</f>
        <v/>
      </c>
    </row>
    <row r="206" customFormat="false" ht="15" hidden="false" customHeight="false" outlineLevel="0" collapsed="false">
      <c r="A206" s="15"/>
      <c r="B206" s="16"/>
      <c r="C206" s="16"/>
      <c r="D206" s="16"/>
      <c r="E206" s="16"/>
      <c r="F206" s="17"/>
      <c r="G206" s="18" t="str">
        <f aca="false">IF(OR(A206="",F206=""),"",IF(E206="USD",F206*Settings!$B$6,F206))</f>
        <v/>
      </c>
      <c r="H206" s="19" t="str">
        <f aca="false">IF(OR(A206="",F206=""),"",IF(E206="USD",F206,F206/Settings!$B$6))</f>
        <v/>
      </c>
      <c r="I206" s="20" t="str">
        <f aca="false">IF(A206="","",DATE(YEAR(A206),MONTH(A206),1))</f>
        <v/>
      </c>
    </row>
    <row r="207" customFormat="false" ht="15" hidden="false" customHeight="false" outlineLevel="0" collapsed="false">
      <c r="A207" s="15"/>
      <c r="B207" s="16"/>
      <c r="C207" s="16"/>
      <c r="D207" s="16"/>
      <c r="E207" s="16"/>
      <c r="F207" s="17"/>
      <c r="G207" s="18" t="str">
        <f aca="false">IF(OR(A207="",F207=""),"",IF(E207="USD",F207*Settings!$B$6,F207))</f>
        <v/>
      </c>
      <c r="H207" s="19" t="str">
        <f aca="false">IF(OR(A207="",F207=""),"",IF(E207="USD",F207,F207/Settings!$B$6))</f>
        <v/>
      </c>
      <c r="I207" s="20" t="str">
        <f aca="false">IF(A207="","",DATE(YEAR(A207),MONTH(A207),1))</f>
        <v/>
      </c>
    </row>
    <row r="208" customFormat="false" ht="15" hidden="false" customHeight="false" outlineLevel="0" collapsed="false">
      <c r="A208" s="15"/>
      <c r="B208" s="16"/>
      <c r="C208" s="16"/>
      <c r="D208" s="16"/>
      <c r="E208" s="16"/>
      <c r="F208" s="17"/>
      <c r="G208" s="18" t="str">
        <f aca="false">IF(OR(A208="",F208=""),"",IF(E208="USD",F208*Settings!$B$6,F208))</f>
        <v/>
      </c>
      <c r="H208" s="19" t="str">
        <f aca="false">IF(OR(A208="",F208=""),"",IF(E208="USD",F208,F208/Settings!$B$6))</f>
        <v/>
      </c>
      <c r="I208" s="20" t="str">
        <f aca="false">IF(A208="","",DATE(YEAR(A208),MONTH(A208),1))</f>
        <v/>
      </c>
    </row>
    <row r="209" customFormat="false" ht="15" hidden="false" customHeight="false" outlineLevel="0" collapsed="false">
      <c r="A209" s="15"/>
      <c r="B209" s="16"/>
      <c r="C209" s="16"/>
      <c r="D209" s="16"/>
      <c r="E209" s="16"/>
      <c r="F209" s="17"/>
      <c r="G209" s="18" t="str">
        <f aca="false">IF(OR(A209="",F209=""),"",IF(E209="USD",F209*Settings!$B$6,F209))</f>
        <v/>
      </c>
      <c r="H209" s="19" t="str">
        <f aca="false">IF(OR(A209="",F209=""),"",IF(E209="USD",F209,F209/Settings!$B$6))</f>
        <v/>
      </c>
      <c r="I209" s="20" t="str">
        <f aca="false">IF(A209="","",DATE(YEAR(A209),MONTH(A209),1))</f>
        <v/>
      </c>
    </row>
    <row r="210" customFormat="false" ht="15" hidden="false" customHeight="false" outlineLevel="0" collapsed="false">
      <c r="A210" s="15"/>
      <c r="B210" s="16"/>
      <c r="C210" s="16"/>
      <c r="D210" s="16"/>
      <c r="E210" s="16"/>
      <c r="F210" s="17"/>
      <c r="G210" s="18" t="str">
        <f aca="false">IF(OR(A210="",F210=""),"",IF(E210="USD",F210*Settings!$B$6,F210))</f>
        <v/>
      </c>
      <c r="H210" s="19" t="str">
        <f aca="false">IF(OR(A210="",F210=""),"",IF(E210="USD",F210,F210/Settings!$B$6))</f>
        <v/>
      </c>
      <c r="I210" s="20" t="str">
        <f aca="false">IF(A210="","",DATE(YEAR(A210),MONTH(A210),1))</f>
        <v/>
      </c>
    </row>
    <row r="211" customFormat="false" ht="15" hidden="false" customHeight="false" outlineLevel="0" collapsed="false">
      <c r="A211" s="15"/>
      <c r="B211" s="16"/>
      <c r="C211" s="16"/>
      <c r="D211" s="16"/>
      <c r="E211" s="16"/>
      <c r="F211" s="17"/>
      <c r="G211" s="18" t="str">
        <f aca="false">IF(OR(A211="",F211=""),"",IF(E211="USD",F211*Settings!$B$6,F211))</f>
        <v/>
      </c>
      <c r="H211" s="19" t="str">
        <f aca="false">IF(OR(A211="",F211=""),"",IF(E211="USD",F211,F211/Settings!$B$6))</f>
        <v/>
      </c>
      <c r="I211" s="20" t="str">
        <f aca="false">IF(A211="","",DATE(YEAR(A211),MONTH(A211),1))</f>
        <v/>
      </c>
    </row>
    <row r="212" customFormat="false" ht="15" hidden="false" customHeight="false" outlineLevel="0" collapsed="false">
      <c r="A212" s="15"/>
      <c r="B212" s="16"/>
      <c r="C212" s="16"/>
      <c r="D212" s="16"/>
      <c r="E212" s="16"/>
      <c r="F212" s="17"/>
      <c r="G212" s="18" t="str">
        <f aca="false">IF(OR(A212="",F212=""),"",IF(E212="USD",F212*Settings!$B$6,F212))</f>
        <v/>
      </c>
      <c r="H212" s="19" t="str">
        <f aca="false">IF(OR(A212="",F212=""),"",IF(E212="USD",F212,F212/Settings!$B$6))</f>
        <v/>
      </c>
      <c r="I212" s="20" t="str">
        <f aca="false">IF(A212="","",DATE(YEAR(A212),MONTH(A212),1))</f>
        <v/>
      </c>
    </row>
    <row r="213" customFormat="false" ht="15" hidden="false" customHeight="false" outlineLevel="0" collapsed="false">
      <c r="A213" s="15"/>
      <c r="B213" s="16"/>
      <c r="C213" s="16"/>
      <c r="D213" s="16"/>
      <c r="E213" s="16"/>
      <c r="F213" s="17"/>
      <c r="G213" s="18" t="str">
        <f aca="false">IF(OR(A213="",F213=""),"",IF(E213="USD",F213*Settings!$B$6,F213))</f>
        <v/>
      </c>
      <c r="H213" s="19" t="str">
        <f aca="false">IF(OR(A213="",F213=""),"",IF(E213="USD",F213,F213/Settings!$B$6))</f>
        <v/>
      </c>
      <c r="I213" s="20" t="str">
        <f aca="false">IF(A213="","",DATE(YEAR(A213),MONTH(A213),1))</f>
        <v/>
      </c>
    </row>
    <row r="214" customFormat="false" ht="15" hidden="false" customHeight="false" outlineLevel="0" collapsed="false">
      <c r="A214" s="15"/>
      <c r="B214" s="16"/>
      <c r="C214" s="16"/>
      <c r="D214" s="16"/>
      <c r="E214" s="16"/>
      <c r="F214" s="17"/>
      <c r="G214" s="18" t="str">
        <f aca="false">IF(OR(A214="",F214=""),"",IF(E214="USD",F214*Settings!$B$6,F214))</f>
        <v/>
      </c>
      <c r="H214" s="19" t="str">
        <f aca="false">IF(OR(A214="",F214=""),"",IF(E214="USD",F214,F214/Settings!$B$6))</f>
        <v/>
      </c>
      <c r="I214" s="20" t="str">
        <f aca="false">IF(A214="","",DATE(YEAR(A214),MONTH(A214),1))</f>
        <v/>
      </c>
    </row>
    <row r="215" customFormat="false" ht="15" hidden="false" customHeight="false" outlineLevel="0" collapsed="false">
      <c r="A215" s="15"/>
      <c r="B215" s="16"/>
      <c r="C215" s="16"/>
      <c r="D215" s="16"/>
      <c r="E215" s="16"/>
      <c r="F215" s="17"/>
      <c r="G215" s="18" t="str">
        <f aca="false">IF(OR(A215="",F215=""),"",IF(E215="USD",F215*Settings!$B$6,F215))</f>
        <v/>
      </c>
      <c r="H215" s="19" t="str">
        <f aca="false">IF(OR(A215="",F215=""),"",IF(E215="USD",F215,F215/Settings!$B$6))</f>
        <v/>
      </c>
      <c r="I215" s="20" t="str">
        <f aca="false">IF(A215="","",DATE(YEAR(A215),MONTH(A215),1))</f>
        <v/>
      </c>
    </row>
    <row r="216" customFormat="false" ht="15" hidden="false" customHeight="false" outlineLevel="0" collapsed="false">
      <c r="A216" s="15"/>
      <c r="B216" s="16"/>
      <c r="C216" s="16"/>
      <c r="D216" s="16"/>
      <c r="E216" s="16"/>
      <c r="F216" s="17"/>
      <c r="G216" s="18" t="str">
        <f aca="false">IF(OR(A216="",F216=""),"",IF(E216="USD",F216*Settings!$B$6,F216))</f>
        <v/>
      </c>
      <c r="H216" s="19" t="str">
        <f aca="false">IF(OR(A216="",F216=""),"",IF(E216="USD",F216,F216/Settings!$B$6))</f>
        <v/>
      </c>
      <c r="I216" s="20" t="str">
        <f aca="false">IF(A216="","",DATE(YEAR(A216),MONTH(A216),1))</f>
        <v/>
      </c>
    </row>
    <row r="217" customFormat="false" ht="15" hidden="false" customHeight="false" outlineLevel="0" collapsed="false">
      <c r="A217" s="15"/>
      <c r="B217" s="16"/>
      <c r="C217" s="16"/>
      <c r="D217" s="16"/>
      <c r="E217" s="16"/>
      <c r="F217" s="17"/>
      <c r="G217" s="18" t="str">
        <f aca="false">IF(OR(A217="",F217=""),"",IF(E217="USD",F217*Settings!$B$6,F217))</f>
        <v/>
      </c>
      <c r="H217" s="19" t="str">
        <f aca="false">IF(OR(A217="",F217=""),"",IF(E217="USD",F217,F217/Settings!$B$6))</f>
        <v/>
      </c>
      <c r="I217" s="20" t="str">
        <f aca="false">IF(A217="","",DATE(YEAR(A217),MONTH(A217),1))</f>
        <v/>
      </c>
    </row>
    <row r="218" customFormat="false" ht="15" hidden="false" customHeight="false" outlineLevel="0" collapsed="false">
      <c r="A218" s="15"/>
      <c r="B218" s="16"/>
      <c r="C218" s="16"/>
      <c r="D218" s="16"/>
      <c r="E218" s="16"/>
      <c r="F218" s="17"/>
      <c r="G218" s="18" t="str">
        <f aca="false">IF(OR(A218="",F218=""),"",IF(E218="USD",F218*Settings!$B$6,F218))</f>
        <v/>
      </c>
      <c r="H218" s="19" t="str">
        <f aca="false">IF(OR(A218="",F218=""),"",IF(E218="USD",F218,F218/Settings!$B$6))</f>
        <v/>
      </c>
      <c r="I218" s="20" t="str">
        <f aca="false">IF(A218="","",DATE(YEAR(A218),MONTH(A218),1))</f>
        <v/>
      </c>
    </row>
    <row r="219" customFormat="false" ht="15" hidden="false" customHeight="false" outlineLevel="0" collapsed="false">
      <c r="A219" s="15"/>
      <c r="B219" s="16"/>
      <c r="C219" s="16"/>
      <c r="D219" s="16"/>
      <c r="E219" s="16"/>
      <c r="F219" s="17"/>
      <c r="G219" s="18" t="str">
        <f aca="false">IF(OR(A219="",F219=""),"",IF(E219="USD",F219*Settings!$B$6,F219))</f>
        <v/>
      </c>
      <c r="H219" s="19" t="str">
        <f aca="false">IF(OR(A219="",F219=""),"",IF(E219="USD",F219,F219/Settings!$B$6))</f>
        <v/>
      </c>
      <c r="I219" s="20" t="str">
        <f aca="false">IF(A219="","",DATE(YEAR(A219),MONTH(A219),1))</f>
        <v/>
      </c>
    </row>
    <row r="220" customFormat="false" ht="15" hidden="false" customHeight="false" outlineLevel="0" collapsed="false">
      <c r="A220" s="15"/>
      <c r="B220" s="16"/>
      <c r="C220" s="16"/>
      <c r="D220" s="16"/>
      <c r="E220" s="16"/>
      <c r="F220" s="17"/>
      <c r="G220" s="18" t="str">
        <f aca="false">IF(OR(A220="",F220=""),"",IF(E220="USD",F220*Settings!$B$6,F220))</f>
        <v/>
      </c>
      <c r="H220" s="19" t="str">
        <f aca="false">IF(OR(A220="",F220=""),"",IF(E220="USD",F220,F220/Settings!$B$6))</f>
        <v/>
      </c>
      <c r="I220" s="20" t="str">
        <f aca="false">IF(A220="","",DATE(YEAR(A220),MONTH(A220),1))</f>
        <v/>
      </c>
    </row>
    <row r="221" customFormat="false" ht="15" hidden="false" customHeight="false" outlineLevel="0" collapsed="false">
      <c r="A221" s="15"/>
      <c r="B221" s="16"/>
      <c r="C221" s="16"/>
      <c r="D221" s="16"/>
      <c r="E221" s="16"/>
      <c r="F221" s="17"/>
      <c r="G221" s="18" t="str">
        <f aca="false">IF(OR(A221="",F221=""),"",IF(E221="USD",F221*Settings!$B$6,F221))</f>
        <v/>
      </c>
      <c r="H221" s="19" t="str">
        <f aca="false">IF(OR(A221="",F221=""),"",IF(E221="USD",F221,F221/Settings!$B$6))</f>
        <v/>
      </c>
      <c r="I221" s="20" t="str">
        <f aca="false">IF(A221="","",DATE(YEAR(A221),MONTH(A221),1))</f>
        <v/>
      </c>
    </row>
    <row r="222" customFormat="false" ht="15" hidden="false" customHeight="false" outlineLevel="0" collapsed="false">
      <c r="A222" s="15"/>
      <c r="B222" s="16"/>
      <c r="C222" s="16"/>
      <c r="D222" s="16"/>
      <c r="E222" s="16"/>
      <c r="F222" s="17"/>
      <c r="G222" s="18" t="str">
        <f aca="false">IF(OR(A222="",F222=""),"",IF(E222="USD",F222*Settings!$B$6,F222))</f>
        <v/>
      </c>
      <c r="H222" s="19" t="str">
        <f aca="false">IF(OR(A222="",F222=""),"",IF(E222="USD",F222,F222/Settings!$B$6))</f>
        <v/>
      </c>
      <c r="I222" s="20" t="str">
        <f aca="false">IF(A222="","",DATE(YEAR(A222),MONTH(A222),1))</f>
        <v/>
      </c>
    </row>
    <row r="223" customFormat="false" ht="15" hidden="false" customHeight="false" outlineLevel="0" collapsed="false">
      <c r="A223" s="15"/>
      <c r="B223" s="16"/>
      <c r="C223" s="16"/>
      <c r="D223" s="16"/>
      <c r="E223" s="16"/>
      <c r="F223" s="17"/>
      <c r="G223" s="18" t="str">
        <f aca="false">IF(OR(A223="",F223=""),"",IF(E223="USD",F223*Settings!$B$6,F223))</f>
        <v/>
      </c>
      <c r="H223" s="19" t="str">
        <f aca="false">IF(OR(A223="",F223=""),"",IF(E223="USD",F223,F223/Settings!$B$6))</f>
        <v/>
      </c>
      <c r="I223" s="20" t="str">
        <f aca="false">IF(A223="","",DATE(YEAR(A223),MONTH(A223),1))</f>
        <v/>
      </c>
    </row>
    <row r="224" customFormat="false" ht="15" hidden="false" customHeight="false" outlineLevel="0" collapsed="false">
      <c r="A224" s="15"/>
      <c r="B224" s="16"/>
      <c r="C224" s="16"/>
      <c r="D224" s="16"/>
      <c r="E224" s="16"/>
      <c r="F224" s="17"/>
      <c r="G224" s="18" t="str">
        <f aca="false">IF(OR(A224="",F224=""),"",IF(E224="USD",F224*Settings!$B$6,F224))</f>
        <v/>
      </c>
      <c r="H224" s="19" t="str">
        <f aca="false">IF(OR(A224="",F224=""),"",IF(E224="USD",F224,F224/Settings!$B$6))</f>
        <v/>
      </c>
      <c r="I224" s="20" t="str">
        <f aca="false">IF(A224="","",DATE(YEAR(A224),MONTH(A224),1))</f>
        <v/>
      </c>
    </row>
    <row r="225" customFormat="false" ht="15" hidden="false" customHeight="false" outlineLevel="0" collapsed="false">
      <c r="A225" s="15"/>
      <c r="B225" s="16"/>
      <c r="C225" s="16"/>
      <c r="D225" s="16"/>
      <c r="E225" s="16"/>
      <c r="F225" s="17"/>
      <c r="G225" s="18" t="str">
        <f aca="false">IF(OR(A225="",F225=""),"",IF(E225="USD",F225*Settings!$B$6,F225))</f>
        <v/>
      </c>
      <c r="H225" s="19" t="str">
        <f aca="false">IF(OR(A225="",F225=""),"",IF(E225="USD",F225,F225/Settings!$B$6))</f>
        <v/>
      </c>
      <c r="I225" s="20" t="str">
        <f aca="false">IF(A225="","",DATE(YEAR(A225),MONTH(A225),1))</f>
        <v/>
      </c>
    </row>
    <row r="226" customFormat="false" ht="15" hidden="false" customHeight="false" outlineLevel="0" collapsed="false">
      <c r="A226" s="15"/>
      <c r="B226" s="16"/>
      <c r="C226" s="16"/>
      <c r="D226" s="16"/>
      <c r="E226" s="16"/>
      <c r="F226" s="17"/>
      <c r="G226" s="18" t="str">
        <f aca="false">IF(OR(A226="",F226=""),"",IF(E226="USD",F226*Settings!$B$6,F226))</f>
        <v/>
      </c>
      <c r="H226" s="19" t="str">
        <f aca="false">IF(OR(A226="",F226=""),"",IF(E226="USD",F226,F226/Settings!$B$6))</f>
        <v/>
      </c>
      <c r="I226" s="20" t="str">
        <f aca="false">IF(A226="","",DATE(YEAR(A226),MONTH(A226),1))</f>
        <v/>
      </c>
    </row>
    <row r="227" customFormat="false" ht="15" hidden="false" customHeight="false" outlineLevel="0" collapsed="false">
      <c r="A227" s="15"/>
      <c r="B227" s="16"/>
      <c r="C227" s="16"/>
      <c r="D227" s="16"/>
      <c r="E227" s="16"/>
      <c r="F227" s="17"/>
      <c r="G227" s="18" t="str">
        <f aca="false">IF(OR(A227="",F227=""),"",IF(E227="USD",F227*Settings!$B$6,F227))</f>
        <v/>
      </c>
      <c r="H227" s="19" t="str">
        <f aca="false">IF(OR(A227="",F227=""),"",IF(E227="USD",F227,F227/Settings!$B$6))</f>
        <v/>
      </c>
      <c r="I227" s="20" t="str">
        <f aca="false">IF(A227="","",DATE(YEAR(A227),MONTH(A227),1))</f>
        <v/>
      </c>
    </row>
    <row r="228" customFormat="false" ht="15" hidden="false" customHeight="false" outlineLevel="0" collapsed="false">
      <c r="A228" s="15"/>
      <c r="B228" s="16"/>
      <c r="C228" s="16"/>
      <c r="D228" s="16"/>
      <c r="E228" s="16"/>
      <c r="F228" s="17"/>
      <c r="G228" s="18" t="str">
        <f aca="false">IF(OR(A228="",F228=""),"",IF(E228="USD",F228*Settings!$B$6,F228))</f>
        <v/>
      </c>
      <c r="H228" s="19" t="str">
        <f aca="false">IF(OR(A228="",F228=""),"",IF(E228="USD",F228,F228/Settings!$B$6))</f>
        <v/>
      </c>
      <c r="I228" s="20" t="str">
        <f aca="false">IF(A228="","",DATE(YEAR(A228),MONTH(A228),1))</f>
        <v/>
      </c>
    </row>
    <row r="229" customFormat="false" ht="15" hidden="false" customHeight="false" outlineLevel="0" collapsed="false">
      <c r="A229" s="15"/>
      <c r="B229" s="16"/>
      <c r="C229" s="16"/>
      <c r="D229" s="16"/>
      <c r="E229" s="16"/>
      <c r="F229" s="17"/>
      <c r="G229" s="18" t="str">
        <f aca="false">IF(OR(A229="",F229=""),"",IF(E229="USD",F229*Settings!$B$6,F229))</f>
        <v/>
      </c>
      <c r="H229" s="19" t="str">
        <f aca="false">IF(OR(A229="",F229=""),"",IF(E229="USD",F229,F229/Settings!$B$6))</f>
        <v/>
      </c>
      <c r="I229" s="20" t="str">
        <f aca="false">IF(A229="","",DATE(YEAR(A229),MONTH(A229),1))</f>
        <v/>
      </c>
    </row>
    <row r="230" customFormat="false" ht="15" hidden="false" customHeight="false" outlineLevel="0" collapsed="false">
      <c r="A230" s="15"/>
      <c r="B230" s="16"/>
      <c r="C230" s="16"/>
      <c r="D230" s="16"/>
      <c r="E230" s="16"/>
      <c r="F230" s="17"/>
      <c r="G230" s="18" t="str">
        <f aca="false">IF(OR(A230="",F230=""),"",IF(E230="USD",F230*Settings!$B$6,F230))</f>
        <v/>
      </c>
      <c r="H230" s="19" t="str">
        <f aca="false">IF(OR(A230="",F230=""),"",IF(E230="USD",F230,F230/Settings!$B$6))</f>
        <v/>
      </c>
      <c r="I230" s="20" t="str">
        <f aca="false">IF(A230="","",DATE(YEAR(A230),MONTH(A230),1))</f>
        <v/>
      </c>
    </row>
    <row r="231" customFormat="false" ht="15" hidden="false" customHeight="false" outlineLevel="0" collapsed="false">
      <c r="A231" s="15"/>
      <c r="B231" s="16"/>
      <c r="C231" s="16"/>
      <c r="D231" s="16"/>
      <c r="E231" s="16"/>
      <c r="F231" s="17"/>
      <c r="G231" s="18" t="str">
        <f aca="false">IF(OR(A231="",F231=""),"",IF(E231="USD",F231*Settings!$B$6,F231))</f>
        <v/>
      </c>
      <c r="H231" s="19" t="str">
        <f aca="false">IF(OR(A231="",F231=""),"",IF(E231="USD",F231,F231/Settings!$B$6))</f>
        <v/>
      </c>
      <c r="I231" s="20" t="str">
        <f aca="false">IF(A231="","",DATE(YEAR(A231),MONTH(A231),1))</f>
        <v/>
      </c>
    </row>
    <row r="232" customFormat="false" ht="15" hidden="false" customHeight="false" outlineLevel="0" collapsed="false">
      <c r="A232" s="15"/>
      <c r="B232" s="16"/>
      <c r="C232" s="16"/>
      <c r="D232" s="16"/>
      <c r="E232" s="16"/>
      <c r="F232" s="17"/>
      <c r="G232" s="18" t="str">
        <f aca="false">IF(OR(A232="",F232=""),"",IF(E232="USD",F232*Settings!$B$6,F232))</f>
        <v/>
      </c>
      <c r="H232" s="19" t="str">
        <f aca="false">IF(OR(A232="",F232=""),"",IF(E232="USD",F232,F232/Settings!$B$6))</f>
        <v/>
      </c>
      <c r="I232" s="20" t="str">
        <f aca="false">IF(A232="","",DATE(YEAR(A232),MONTH(A232),1))</f>
        <v/>
      </c>
    </row>
    <row r="233" customFormat="false" ht="15" hidden="false" customHeight="false" outlineLevel="0" collapsed="false">
      <c r="A233" s="15"/>
      <c r="B233" s="16"/>
      <c r="C233" s="16"/>
      <c r="D233" s="16"/>
      <c r="E233" s="16"/>
      <c r="F233" s="17"/>
      <c r="G233" s="18" t="str">
        <f aca="false">IF(OR(A233="",F233=""),"",IF(E233="USD",F233*Settings!$B$6,F233))</f>
        <v/>
      </c>
      <c r="H233" s="19" t="str">
        <f aca="false">IF(OR(A233="",F233=""),"",IF(E233="USD",F233,F233/Settings!$B$6))</f>
        <v/>
      </c>
      <c r="I233" s="20" t="str">
        <f aca="false">IF(A233="","",DATE(YEAR(A233),MONTH(A233),1))</f>
        <v/>
      </c>
    </row>
    <row r="234" customFormat="false" ht="15" hidden="false" customHeight="false" outlineLevel="0" collapsed="false">
      <c r="A234" s="15"/>
      <c r="B234" s="16"/>
      <c r="C234" s="16"/>
      <c r="D234" s="16"/>
      <c r="E234" s="16"/>
      <c r="F234" s="17"/>
      <c r="G234" s="18" t="str">
        <f aca="false">IF(OR(A234="",F234=""),"",IF(E234="USD",F234*Settings!$B$6,F234))</f>
        <v/>
      </c>
      <c r="H234" s="19" t="str">
        <f aca="false">IF(OR(A234="",F234=""),"",IF(E234="USD",F234,F234/Settings!$B$6))</f>
        <v/>
      </c>
      <c r="I234" s="20" t="str">
        <f aca="false">IF(A234="","",DATE(YEAR(A234),MONTH(A234),1))</f>
        <v/>
      </c>
    </row>
    <row r="235" customFormat="false" ht="15" hidden="false" customHeight="false" outlineLevel="0" collapsed="false">
      <c r="A235" s="15"/>
      <c r="B235" s="16"/>
      <c r="C235" s="16"/>
      <c r="D235" s="16"/>
      <c r="E235" s="16"/>
      <c r="F235" s="17"/>
      <c r="G235" s="18" t="str">
        <f aca="false">IF(OR(A235="",F235=""),"",IF(E235="USD",F235*Settings!$B$6,F235))</f>
        <v/>
      </c>
      <c r="H235" s="19" t="str">
        <f aca="false">IF(OR(A235="",F235=""),"",IF(E235="USD",F235,F235/Settings!$B$6))</f>
        <v/>
      </c>
      <c r="I235" s="20" t="str">
        <f aca="false">IF(A235="","",DATE(YEAR(A235),MONTH(A235),1))</f>
        <v/>
      </c>
    </row>
    <row r="236" customFormat="false" ht="15" hidden="false" customHeight="false" outlineLevel="0" collapsed="false">
      <c r="A236" s="15"/>
      <c r="B236" s="16"/>
      <c r="C236" s="16"/>
      <c r="D236" s="16"/>
      <c r="E236" s="16"/>
      <c r="F236" s="17"/>
      <c r="G236" s="18" t="str">
        <f aca="false">IF(OR(A236="",F236=""),"",IF(E236="USD",F236*Settings!$B$6,F236))</f>
        <v/>
      </c>
      <c r="H236" s="19" t="str">
        <f aca="false">IF(OR(A236="",F236=""),"",IF(E236="USD",F236,F236/Settings!$B$6))</f>
        <v/>
      </c>
      <c r="I236" s="20" t="str">
        <f aca="false">IF(A236="","",DATE(YEAR(A236),MONTH(A236),1))</f>
        <v/>
      </c>
    </row>
    <row r="237" customFormat="false" ht="15" hidden="false" customHeight="false" outlineLevel="0" collapsed="false">
      <c r="A237" s="15"/>
      <c r="B237" s="16"/>
      <c r="C237" s="16"/>
      <c r="D237" s="16"/>
      <c r="E237" s="16"/>
      <c r="F237" s="17"/>
      <c r="G237" s="18" t="str">
        <f aca="false">IF(OR(A237="",F237=""),"",IF(E237="USD",F237*Settings!$B$6,F237))</f>
        <v/>
      </c>
      <c r="H237" s="19" t="str">
        <f aca="false">IF(OR(A237="",F237=""),"",IF(E237="USD",F237,F237/Settings!$B$6))</f>
        <v/>
      </c>
      <c r="I237" s="20" t="str">
        <f aca="false">IF(A237="","",DATE(YEAR(A237),MONTH(A237),1))</f>
        <v/>
      </c>
    </row>
    <row r="238" customFormat="false" ht="15" hidden="false" customHeight="false" outlineLevel="0" collapsed="false">
      <c r="A238" s="15"/>
      <c r="B238" s="16"/>
      <c r="C238" s="16"/>
      <c r="D238" s="16"/>
      <c r="E238" s="16"/>
      <c r="F238" s="17"/>
      <c r="G238" s="18" t="str">
        <f aca="false">IF(OR(A238="",F238=""),"",IF(E238="USD",F238*Settings!$B$6,F238))</f>
        <v/>
      </c>
      <c r="H238" s="19" t="str">
        <f aca="false">IF(OR(A238="",F238=""),"",IF(E238="USD",F238,F238/Settings!$B$6))</f>
        <v/>
      </c>
      <c r="I238" s="20" t="str">
        <f aca="false">IF(A238="","",DATE(YEAR(A238),MONTH(A238),1))</f>
        <v/>
      </c>
    </row>
    <row r="239" customFormat="false" ht="15" hidden="false" customHeight="false" outlineLevel="0" collapsed="false">
      <c r="A239" s="15"/>
      <c r="B239" s="16"/>
      <c r="C239" s="16"/>
      <c r="D239" s="16"/>
      <c r="E239" s="16"/>
      <c r="F239" s="17"/>
      <c r="G239" s="18" t="str">
        <f aca="false">IF(OR(A239="",F239=""),"",IF(E239="USD",F239*Settings!$B$6,F239))</f>
        <v/>
      </c>
      <c r="H239" s="19" t="str">
        <f aca="false">IF(OR(A239="",F239=""),"",IF(E239="USD",F239,F239/Settings!$B$6))</f>
        <v/>
      </c>
      <c r="I239" s="20" t="str">
        <f aca="false">IF(A239="","",DATE(YEAR(A239),MONTH(A239),1))</f>
        <v/>
      </c>
    </row>
    <row r="240" customFormat="false" ht="15" hidden="false" customHeight="false" outlineLevel="0" collapsed="false">
      <c r="A240" s="15"/>
      <c r="B240" s="16"/>
      <c r="C240" s="16"/>
      <c r="D240" s="16"/>
      <c r="E240" s="16"/>
      <c r="F240" s="17"/>
      <c r="G240" s="18" t="str">
        <f aca="false">IF(OR(A240="",F240=""),"",IF(E240="USD",F240*Settings!$B$6,F240))</f>
        <v/>
      </c>
      <c r="H240" s="19" t="str">
        <f aca="false">IF(OR(A240="",F240=""),"",IF(E240="USD",F240,F240/Settings!$B$6))</f>
        <v/>
      </c>
      <c r="I240" s="20" t="str">
        <f aca="false">IF(A240="","",DATE(YEAR(A240),MONTH(A240),1))</f>
        <v/>
      </c>
    </row>
    <row r="241" customFormat="false" ht="15" hidden="false" customHeight="false" outlineLevel="0" collapsed="false">
      <c r="A241" s="15"/>
      <c r="B241" s="16"/>
      <c r="C241" s="16"/>
      <c r="D241" s="16"/>
      <c r="E241" s="16"/>
      <c r="F241" s="17"/>
      <c r="G241" s="18" t="str">
        <f aca="false">IF(OR(A241="",F241=""),"",IF(E241="USD",F241*Settings!$B$6,F241))</f>
        <v/>
      </c>
      <c r="H241" s="19" t="str">
        <f aca="false">IF(OR(A241="",F241=""),"",IF(E241="USD",F241,F241/Settings!$B$6))</f>
        <v/>
      </c>
      <c r="I241" s="20" t="str">
        <f aca="false">IF(A241="","",DATE(YEAR(A241),MONTH(A241),1))</f>
        <v/>
      </c>
    </row>
    <row r="242" customFormat="false" ht="15" hidden="false" customHeight="false" outlineLevel="0" collapsed="false">
      <c r="A242" s="15"/>
      <c r="B242" s="16"/>
      <c r="C242" s="16"/>
      <c r="D242" s="16"/>
      <c r="E242" s="16"/>
      <c r="F242" s="17"/>
      <c r="G242" s="18" t="str">
        <f aca="false">IF(OR(A242="",F242=""),"",IF(E242="USD",F242*Settings!$B$6,F242))</f>
        <v/>
      </c>
      <c r="H242" s="19" t="str">
        <f aca="false">IF(OR(A242="",F242=""),"",IF(E242="USD",F242,F242/Settings!$B$6))</f>
        <v/>
      </c>
      <c r="I242" s="20" t="str">
        <f aca="false">IF(A242="","",DATE(YEAR(A242),MONTH(A242),1))</f>
        <v/>
      </c>
    </row>
    <row r="243" customFormat="false" ht="15" hidden="false" customHeight="false" outlineLevel="0" collapsed="false">
      <c r="A243" s="15"/>
      <c r="B243" s="16"/>
      <c r="C243" s="16"/>
      <c r="D243" s="16"/>
      <c r="E243" s="16"/>
      <c r="F243" s="17"/>
      <c r="G243" s="18" t="str">
        <f aca="false">IF(OR(A243="",F243=""),"",IF(E243="USD",F243*Settings!$B$6,F243))</f>
        <v/>
      </c>
      <c r="H243" s="19" t="str">
        <f aca="false">IF(OR(A243="",F243=""),"",IF(E243="USD",F243,F243/Settings!$B$6))</f>
        <v/>
      </c>
      <c r="I243" s="20" t="str">
        <f aca="false">IF(A243="","",DATE(YEAR(A243),MONTH(A243),1))</f>
        <v/>
      </c>
    </row>
    <row r="244" customFormat="false" ht="15" hidden="false" customHeight="false" outlineLevel="0" collapsed="false">
      <c r="A244" s="15"/>
      <c r="B244" s="16"/>
      <c r="C244" s="16"/>
      <c r="D244" s="16"/>
      <c r="E244" s="16"/>
      <c r="F244" s="17"/>
      <c r="G244" s="18" t="str">
        <f aca="false">IF(OR(A244="",F244=""),"",IF(E244="USD",F244*Settings!$B$6,F244))</f>
        <v/>
      </c>
      <c r="H244" s="19" t="str">
        <f aca="false">IF(OR(A244="",F244=""),"",IF(E244="USD",F244,F244/Settings!$B$6))</f>
        <v/>
      </c>
      <c r="I244" s="20" t="str">
        <f aca="false">IF(A244="","",DATE(YEAR(A244),MONTH(A244),1))</f>
        <v/>
      </c>
    </row>
    <row r="245" customFormat="false" ht="15" hidden="false" customHeight="false" outlineLevel="0" collapsed="false">
      <c r="A245" s="15"/>
      <c r="B245" s="16"/>
      <c r="C245" s="16"/>
      <c r="D245" s="16"/>
      <c r="E245" s="16"/>
      <c r="F245" s="17"/>
      <c r="G245" s="18" t="str">
        <f aca="false">IF(OR(A245="",F245=""),"",IF(E245="USD",F245*Settings!$B$6,F245))</f>
        <v/>
      </c>
      <c r="H245" s="19" t="str">
        <f aca="false">IF(OR(A245="",F245=""),"",IF(E245="USD",F245,F245/Settings!$B$6))</f>
        <v/>
      </c>
      <c r="I245" s="20" t="str">
        <f aca="false">IF(A245="","",DATE(YEAR(A245),MONTH(A245),1))</f>
        <v/>
      </c>
    </row>
    <row r="246" customFormat="false" ht="15" hidden="false" customHeight="false" outlineLevel="0" collapsed="false">
      <c r="A246" s="15"/>
      <c r="B246" s="16"/>
      <c r="C246" s="16"/>
      <c r="D246" s="16"/>
      <c r="E246" s="16"/>
      <c r="F246" s="17"/>
      <c r="G246" s="18" t="str">
        <f aca="false">IF(OR(A246="",F246=""),"",IF(E246="USD",F246*Settings!$B$6,F246))</f>
        <v/>
      </c>
      <c r="H246" s="19" t="str">
        <f aca="false">IF(OR(A246="",F246=""),"",IF(E246="USD",F246,F246/Settings!$B$6))</f>
        <v/>
      </c>
      <c r="I246" s="20" t="str">
        <f aca="false">IF(A246="","",DATE(YEAR(A246),MONTH(A246),1))</f>
        <v/>
      </c>
    </row>
    <row r="247" customFormat="false" ht="15" hidden="false" customHeight="false" outlineLevel="0" collapsed="false">
      <c r="A247" s="15"/>
      <c r="B247" s="16"/>
      <c r="C247" s="16"/>
      <c r="D247" s="16"/>
      <c r="E247" s="16"/>
      <c r="F247" s="17"/>
      <c r="G247" s="18" t="str">
        <f aca="false">IF(OR(A247="",F247=""),"",IF(E247="USD",F247*Settings!$B$6,F247))</f>
        <v/>
      </c>
      <c r="H247" s="19" t="str">
        <f aca="false">IF(OR(A247="",F247=""),"",IF(E247="USD",F247,F247/Settings!$B$6))</f>
        <v/>
      </c>
      <c r="I247" s="20" t="str">
        <f aca="false">IF(A247="","",DATE(YEAR(A247),MONTH(A247),1))</f>
        <v/>
      </c>
    </row>
    <row r="248" customFormat="false" ht="15" hidden="false" customHeight="false" outlineLevel="0" collapsed="false">
      <c r="A248" s="15"/>
      <c r="B248" s="16"/>
      <c r="C248" s="16"/>
      <c r="D248" s="16"/>
      <c r="E248" s="16"/>
      <c r="F248" s="17"/>
      <c r="G248" s="18" t="str">
        <f aca="false">IF(OR(A248="",F248=""),"",IF(E248="USD",F248*Settings!$B$6,F248))</f>
        <v/>
      </c>
      <c r="H248" s="19" t="str">
        <f aca="false">IF(OR(A248="",F248=""),"",IF(E248="USD",F248,F248/Settings!$B$6))</f>
        <v/>
      </c>
      <c r="I248" s="20" t="str">
        <f aca="false">IF(A248="","",DATE(YEAR(A248),MONTH(A248),1))</f>
        <v/>
      </c>
    </row>
    <row r="249" customFormat="false" ht="15" hidden="false" customHeight="false" outlineLevel="0" collapsed="false">
      <c r="A249" s="15"/>
      <c r="B249" s="16"/>
      <c r="C249" s="16"/>
      <c r="D249" s="16"/>
      <c r="E249" s="16"/>
      <c r="F249" s="17"/>
      <c r="G249" s="18" t="str">
        <f aca="false">IF(OR(A249="",F249=""),"",IF(E249="USD",F249*Settings!$B$6,F249))</f>
        <v/>
      </c>
      <c r="H249" s="19" t="str">
        <f aca="false">IF(OR(A249="",F249=""),"",IF(E249="USD",F249,F249/Settings!$B$6))</f>
        <v/>
      </c>
      <c r="I249" s="20" t="str">
        <f aca="false">IF(A249="","",DATE(YEAR(A249),MONTH(A249),1))</f>
        <v/>
      </c>
    </row>
    <row r="250" customFormat="false" ht="15" hidden="false" customHeight="false" outlineLevel="0" collapsed="false">
      <c r="A250" s="15"/>
      <c r="B250" s="16"/>
      <c r="C250" s="16"/>
      <c r="D250" s="16"/>
      <c r="E250" s="16"/>
      <c r="F250" s="17"/>
      <c r="G250" s="18" t="str">
        <f aca="false">IF(OR(A250="",F250=""),"",IF(E250="USD",F250*Settings!$B$6,F250))</f>
        <v/>
      </c>
      <c r="H250" s="19" t="str">
        <f aca="false">IF(OR(A250="",F250=""),"",IF(E250="USD",F250,F250/Settings!$B$6))</f>
        <v/>
      </c>
      <c r="I250" s="20" t="str">
        <f aca="false">IF(A250="","",DATE(YEAR(A250),MONTH(A250),1))</f>
        <v/>
      </c>
    </row>
    <row r="251" customFormat="false" ht="15" hidden="false" customHeight="false" outlineLevel="0" collapsed="false">
      <c r="A251" s="15"/>
      <c r="B251" s="16"/>
      <c r="C251" s="16"/>
      <c r="D251" s="16"/>
      <c r="E251" s="16"/>
      <c r="F251" s="17"/>
      <c r="G251" s="18" t="str">
        <f aca="false">IF(OR(A251="",F251=""),"",IF(E251="USD",F251*Settings!$B$6,F251))</f>
        <v/>
      </c>
      <c r="H251" s="19" t="str">
        <f aca="false">IF(OR(A251="",F251=""),"",IF(E251="USD",F251,F251/Settings!$B$6))</f>
        <v/>
      </c>
      <c r="I251" s="20" t="str">
        <f aca="false">IF(A251="","",DATE(YEAR(A251),MONTH(A251),1))</f>
        <v/>
      </c>
    </row>
    <row r="252" customFormat="false" ht="15" hidden="false" customHeight="false" outlineLevel="0" collapsed="false">
      <c r="A252" s="15"/>
      <c r="B252" s="16"/>
      <c r="C252" s="16"/>
      <c r="D252" s="16"/>
      <c r="E252" s="16"/>
      <c r="F252" s="17"/>
      <c r="G252" s="18" t="str">
        <f aca="false">IF(OR(A252="",F252=""),"",IF(E252="USD",F252*Settings!$B$6,F252))</f>
        <v/>
      </c>
      <c r="H252" s="19" t="str">
        <f aca="false">IF(OR(A252="",F252=""),"",IF(E252="USD",F252,F252/Settings!$B$6))</f>
        <v/>
      </c>
      <c r="I252" s="20" t="str">
        <f aca="false">IF(A252="","",DATE(YEAR(A252),MONTH(A252),1))</f>
        <v/>
      </c>
    </row>
    <row r="253" customFormat="false" ht="15" hidden="false" customHeight="false" outlineLevel="0" collapsed="false">
      <c r="A253" s="15"/>
      <c r="B253" s="16"/>
      <c r="C253" s="16"/>
      <c r="D253" s="16"/>
      <c r="E253" s="16"/>
      <c r="F253" s="17"/>
      <c r="G253" s="18" t="str">
        <f aca="false">IF(OR(A253="",F253=""),"",IF(E253="USD",F253*Settings!$B$6,F253))</f>
        <v/>
      </c>
      <c r="H253" s="19" t="str">
        <f aca="false">IF(OR(A253="",F253=""),"",IF(E253="USD",F253,F253/Settings!$B$6))</f>
        <v/>
      </c>
      <c r="I253" s="20" t="str">
        <f aca="false">IF(A253="","",DATE(YEAR(A253),MONTH(A253),1))</f>
        <v/>
      </c>
    </row>
    <row r="254" customFormat="false" ht="15" hidden="false" customHeight="false" outlineLevel="0" collapsed="false">
      <c r="A254" s="15"/>
      <c r="B254" s="16"/>
      <c r="C254" s="16"/>
      <c r="D254" s="16"/>
      <c r="E254" s="16"/>
      <c r="F254" s="17"/>
      <c r="G254" s="18" t="str">
        <f aca="false">IF(OR(A254="",F254=""),"",IF(E254="USD",F254*Settings!$B$6,F254))</f>
        <v/>
      </c>
      <c r="H254" s="19" t="str">
        <f aca="false">IF(OR(A254="",F254=""),"",IF(E254="USD",F254,F254/Settings!$B$6))</f>
        <v/>
      </c>
      <c r="I254" s="20" t="str">
        <f aca="false">IF(A254="","",DATE(YEAR(A254),MONTH(A254),1))</f>
        <v/>
      </c>
    </row>
    <row r="255" customFormat="false" ht="15" hidden="false" customHeight="false" outlineLevel="0" collapsed="false">
      <c r="A255" s="15"/>
      <c r="B255" s="16"/>
      <c r="C255" s="16"/>
      <c r="D255" s="16"/>
      <c r="E255" s="16"/>
      <c r="F255" s="17"/>
      <c r="G255" s="18" t="str">
        <f aca="false">IF(OR(A255="",F255=""),"",IF(E255="USD",F255*Settings!$B$6,F255))</f>
        <v/>
      </c>
      <c r="H255" s="19" t="str">
        <f aca="false">IF(OR(A255="",F255=""),"",IF(E255="USD",F255,F255/Settings!$B$6))</f>
        <v/>
      </c>
      <c r="I255" s="20" t="str">
        <f aca="false">IF(A255="","",DATE(YEAR(A255),MONTH(A255),1))</f>
        <v/>
      </c>
    </row>
    <row r="256" customFormat="false" ht="15" hidden="false" customHeight="false" outlineLevel="0" collapsed="false">
      <c r="A256" s="15"/>
      <c r="B256" s="16"/>
      <c r="C256" s="16"/>
      <c r="D256" s="16"/>
      <c r="E256" s="16"/>
      <c r="F256" s="17"/>
      <c r="G256" s="18" t="str">
        <f aca="false">IF(OR(A256="",F256=""),"",IF(E256="USD",F256*Settings!$B$6,F256))</f>
        <v/>
      </c>
      <c r="H256" s="19" t="str">
        <f aca="false">IF(OR(A256="",F256=""),"",IF(E256="USD",F256,F256/Settings!$B$6))</f>
        <v/>
      </c>
      <c r="I256" s="20" t="str">
        <f aca="false">IF(A256="","",DATE(YEAR(A256),MONTH(A256),1))</f>
        <v/>
      </c>
    </row>
    <row r="257" customFormat="false" ht="15" hidden="false" customHeight="false" outlineLevel="0" collapsed="false">
      <c r="A257" s="15"/>
      <c r="B257" s="16"/>
      <c r="C257" s="16"/>
      <c r="D257" s="16"/>
      <c r="E257" s="16"/>
      <c r="F257" s="17"/>
      <c r="G257" s="18" t="str">
        <f aca="false">IF(OR(A257="",F257=""),"",IF(E257="USD",F257*Settings!$B$6,F257))</f>
        <v/>
      </c>
      <c r="H257" s="19" t="str">
        <f aca="false">IF(OR(A257="",F257=""),"",IF(E257="USD",F257,F257/Settings!$B$6))</f>
        <v/>
      </c>
      <c r="I257" s="20" t="str">
        <f aca="false">IF(A257="","",DATE(YEAR(A257),MONTH(A257),1))</f>
        <v/>
      </c>
    </row>
    <row r="258" customFormat="false" ht="15" hidden="false" customHeight="false" outlineLevel="0" collapsed="false">
      <c r="A258" s="15"/>
      <c r="B258" s="16"/>
      <c r="C258" s="16"/>
      <c r="D258" s="16"/>
      <c r="E258" s="16"/>
      <c r="F258" s="17"/>
      <c r="G258" s="18" t="str">
        <f aca="false">IF(OR(A258="",F258=""),"",IF(E258="USD",F258*Settings!$B$6,F258))</f>
        <v/>
      </c>
      <c r="H258" s="19" t="str">
        <f aca="false">IF(OR(A258="",F258=""),"",IF(E258="USD",F258,F258/Settings!$B$6))</f>
        <v/>
      </c>
      <c r="I258" s="20" t="str">
        <f aca="false">IF(A258="","",DATE(YEAR(A258),MONTH(A258),1))</f>
        <v/>
      </c>
    </row>
    <row r="259" customFormat="false" ht="15" hidden="false" customHeight="false" outlineLevel="0" collapsed="false">
      <c r="A259" s="15"/>
      <c r="B259" s="16"/>
      <c r="C259" s="16"/>
      <c r="D259" s="16"/>
      <c r="E259" s="16"/>
      <c r="F259" s="17"/>
      <c r="G259" s="18" t="str">
        <f aca="false">IF(OR(A259="",F259=""),"",IF(E259="USD",F259*Settings!$B$6,F259))</f>
        <v/>
      </c>
      <c r="H259" s="19" t="str">
        <f aca="false">IF(OR(A259="",F259=""),"",IF(E259="USD",F259,F259/Settings!$B$6))</f>
        <v/>
      </c>
      <c r="I259" s="20" t="str">
        <f aca="false">IF(A259="","",DATE(YEAR(A259),MONTH(A259),1))</f>
        <v/>
      </c>
    </row>
    <row r="260" customFormat="false" ht="15" hidden="false" customHeight="false" outlineLevel="0" collapsed="false">
      <c r="A260" s="15"/>
      <c r="B260" s="16"/>
      <c r="C260" s="16"/>
      <c r="D260" s="16"/>
      <c r="E260" s="16"/>
      <c r="F260" s="17"/>
      <c r="G260" s="18" t="str">
        <f aca="false">IF(OR(A260="",F260=""),"",IF(E260="USD",F260*Settings!$B$6,F260))</f>
        <v/>
      </c>
      <c r="H260" s="19" t="str">
        <f aca="false">IF(OR(A260="",F260=""),"",IF(E260="USD",F260,F260/Settings!$B$6))</f>
        <v/>
      </c>
      <c r="I260" s="20" t="str">
        <f aca="false">IF(A260="","",DATE(YEAR(A260),MONTH(A260),1))</f>
        <v/>
      </c>
    </row>
    <row r="261" customFormat="false" ht="15" hidden="false" customHeight="false" outlineLevel="0" collapsed="false">
      <c r="A261" s="15"/>
      <c r="B261" s="16"/>
      <c r="C261" s="16"/>
      <c r="D261" s="16"/>
      <c r="E261" s="16"/>
      <c r="F261" s="17"/>
      <c r="G261" s="18" t="str">
        <f aca="false">IF(OR(A261="",F261=""),"",IF(E261="USD",F261*Settings!$B$6,F261))</f>
        <v/>
      </c>
      <c r="H261" s="19" t="str">
        <f aca="false">IF(OR(A261="",F261=""),"",IF(E261="USD",F261,F261/Settings!$B$6))</f>
        <v/>
      </c>
      <c r="I261" s="20" t="str">
        <f aca="false">IF(A261="","",DATE(YEAR(A261),MONTH(A261),1))</f>
        <v/>
      </c>
    </row>
    <row r="262" customFormat="false" ht="15" hidden="false" customHeight="false" outlineLevel="0" collapsed="false">
      <c r="A262" s="15"/>
      <c r="B262" s="16"/>
      <c r="C262" s="16"/>
      <c r="D262" s="16"/>
      <c r="E262" s="16"/>
      <c r="F262" s="17"/>
      <c r="G262" s="18" t="str">
        <f aca="false">IF(OR(A262="",F262=""),"",IF(E262="USD",F262*Settings!$B$6,F262))</f>
        <v/>
      </c>
      <c r="H262" s="19" t="str">
        <f aca="false">IF(OR(A262="",F262=""),"",IF(E262="USD",F262,F262/Settings!$B$6))</f>
        <v/>
      </c>
      <c r="I262" s="20" t="str">
        <f aca="false">IF(A262="","",DATE(YEAR(A262),MONTH(A262),1))</f>
        <v/>
      </c>
    </row>
    <row r="263" customFormat="false" ht="15" hidden="false" customHeight="false" outlineLevel="0" collapsed="false">
      <c r="A263" s="15"/>
      <c r="B263" s="16"/>
      <c r="C263" s="16"/>
      <c r="D263" s="16"/>
      <c r="E263" s="16"/>
      <c r="F263" s="17"/>
      <c r="G263" s="18" t="str">
        <f aca="false">IF(OR(A263="",F263=""),"",IF(E263="USD",F263*Settings!$B$6,F263))</f>
        <v/>
      </c>
      <c r="H263" s="19" t="str">
        <f aca="false">IF(OR(A263="",F263=""),"",IF(E263="USD",F263,F263/Settings!$B$6))</f>
        <v/>
      </c>
      <c r="I263" s="20" t="str">
        <f aca="false">IF(A263="","",DATE(YEAR(A263),MONTH(A263),1))</f>
        <v/>
      </c>
    </row>
    <row r="264" customFormat="false" ht="15" hidden="false" customHeight="false" outlineLevel="0" collapsed="false">
      <c r="A264" s="15"/>
      <c r="B264" s="16"/>
      <c r="C264" s="16"/>
      <c r="D264" s="16"/>
      <c r="E264" s="16"/>
      <c r="F264" s="17"/>
      <c r="G264" s="18" t="str">
        <f aca="false">IF(OR(A264="",F264=""),"",IF(E264="USD",F264*Settings!$B$6,F264))</f>
        <v/>
      </c>
      <c r="H264" s="19" t="str">
        <f aca="false">IF(OR(A264="",F264=""),"",IF(E264="USD",F264,F264/Settings!$B$6))</f>
        <v/>
      </c>
      <c r="I264" s="20" t="str">
        <f aca="false">IF(A264="","",DATE(YEAR(A264),MONTH(A264),1))</f>
        <v/>
      </c>
    </row>
    <row r="265" customFormat="false" ht="15" hidden="false" customHeight="false" outlineLevel="0" collapsed="false">
      <c r="A265" s="15"/>
      <c r="B265" s="16"/>
      <c r="C265" s="16"/>
      <c r="D265" s="16"/>
      <c r="E265" s="16"/>
      <c r="F265" s="17"/>
      <c r="G265" s="18" t="str">
        <f aca="false">IF(OR(A265="",F265=""),"",IF(E265="USD",F265*Settings!$B$6,F265))</f>
        <v/>
      </c>
      <c r="H265" s="19" t="str">
        <f aca="false">IF(OR(A265="",F265=""),"",IF(E265="USD",F265,F265/Settings!$B$6))</f>
        <v/>
      </c>
      <c r="I265" s="20" t="str">
        <f aca="false">IF(A265="","",DATE(YEAR(A265),MONTH(A265),1))</f>
        <v/>
      </c>
    </row>
    <row r="266" customFormat="false" ht="15" hidden="false" customHeight="false" outlineLevel="0" collapsed="false">
      <c r="A266" s="15"/>
      <c r="B266" s="16"/>
      <c r="C266" s="16"/>
      <c r="D266" s="16"/>
      <c r="E266" s="16"/>
      <c r="F266" s="17"/>
      <c r="G266" s="18" t="str">
        <f aca="false">IF(OR(A266="",F266=""),"",IF(E266="USD",F266*Settings!$B$6,F266))</f>
        <v/>
      </c>
      <c r="H266" s="19" t="str">
        <f aca="false">IF(OR(A266="",F266=""),"",IF(E266="USD",F266,F266/Settings!$B$6))</f>
        <v/>
      </c>
      <c r="I266" s="20" t="str">
        <f aca="false">IF(A266="","",DATE(YEAR(A266),MONTH(A266),1))</f>
        <v/>
      </c>
    </row>
    <row r="267" customFormat="false" ht="15" hidden="false" customHeight="false" outlineLevel="0" collapsed="false">
      <c r="A267" s="15"/>
      <c r="B267" s="16"/>
      <c r="C267" s="16"/>
      <c r="D267" s="16"/>
      <c r="E267" s="16"/>
      <c r="F267" s="17"/>
      <c r="G267" s="18" t="str">
        <f aca="false">IF(OR(A267="",F267=""),"",IF(E267="USD",F267*Settings!$B$6,F267))</f>
        <v/>
      </c>
      <c r="H267" s="19" t="str">
        <f aca="false">IF(OR(A267="",F267=""),"",IF(E267="USD",F267,F267/Settings!$B$6))</f>
        <v/>
      </c>
      <c r="I267" s="20" t="str">
        <f aca="false">IF(A267="","",DATE(YEAR(A267),MONTH(A267),1))</f>
        <v/>
      </c>
    </row>
    <row r="268" customFormat="false" ht="15" hidden="false" customHeight="false" outlineLevel="0" collapsed="false">
      <c r="A268" s="15"/>
      <c r="B268" s="16"/>
      <c r="C268" s="16"/>
      <c r="D268" s="16"/>
      <c r="E268" s="16"/>
      <c r="F268" s="17"/>
      <c r="G268" s="18" t="str">
        <f aca="false">IF(OR(A268="",F268=""),"",IF(E268="USD",F268*Settings!$B$6,F268))</f>
        <v/>
      </c>
      <c r="H268" s="19" t="str">
        <f aca="false">IF(OR(A268="",F268=""),"",IF(E268="USD",F268,F268/Settings!$B$6))</f>
        <v/>
      </c>
      <c r="I268" s="20" t="str">
        <f aca="false">IF(A268="","",DATE(YEAR(A268),MONTH(A268),1))</f>
        <v/>
      </c>
    </row>
    <row r="269" customFormat="false" ht="15" hidden="false" customHeight="false" outlineLevel="0" collapsed="false">
      <c r="A269" s="15"/>
      <c r="B269" s="16"/>
      <c r="C269" s="16"/>
      <c r="D269" s="16"/>
      <c r="E269" s="16"/>
      <c r="F269" s="17"/>
      <c r="G269" s="18" t="str">
        <f aca="false">IF(OR(A269="",F269=""),"",IF(E269="USD",F269*Settings!$B$6,F269))</f>
        <v/>
      </c>
      <c r="H269" s="19" t="str">
        <f aca="false">IF(OR(A269="",F269=""),"",IF(E269="USD",F269,F269/Settings!$B$6))</f>
        <v/>
      </c>
      <c r="I269" s="20" t="str">
        <f aca="false">IF(A269="","",DATE(YEAR(A269),MONTH(A269),1))</f>
        <v/>
      </c>
    </row>
    <row r="270" customFormat="false" ht="15" hidden="false" customHeight="false" outlineLevel="0" collapsed="false">
      <c r="A270" s="15"/>
      <c r="B270" s="16"/>
      <c r="C270" s="16"/>
      <c r="D270" s="16"/>
      <c r="E270" s="16"/>
      <c r="F270" s="17"/>
      <c r="G270" s="18" t="str">
        <f aca="false">IF(OR(A270="",F270=""),"",IF(E270="USD",F270*Settings!$B$6,F270))</f>
        <v/>
      </c>
      <c r="H270" s="19" t="str">
        <f aca="false">IF(OR(A270="",F270=""),"",IF(E270="USD",F270,F270/Settings!$B$6))</f>
        <v/>
      </c>
      <c r="I270" s="20" t="str">
        <f aca="false">IF(A270="","",DATE(YEAR(A270),MONTH(A270),1))</f>
        <v/>
      </c>
    </row>
    <row r="271" customFormat="false" ht="15" hidden="false" customHeight="false" outlineLevel="0" collapsed="false">
      <c r="A271" s="15"/>
      <c r="B271" s="16"/>
      <c r="C271" s="16"/>
      <c r="D271" s="16"/>
      <c r="E271" s="16"/>
      <c r="F271" s="17"/>
      <c r="G271" s="18" t="str">
        <f aca="false">IF(OR(A271="",F271=""),"",IF(E271="USD",F271*Settings!$B$6,F271))</f>
        <v/>
      </c>
      <c r="H271" s="19" t="str">
        <f aca="false">IF(OR(A271="",F271=""),"",IF(E271="USD",F271,F271/Settings!$B$6))</f>
        <v/>
      </c>
      <c r="I271" s="20" t="str">
        <f aca="false">IF(A271="","",DATE(YEAR(A271),MONTH(A271),1))</f>
        <v/>
      </c>
    </row>
    <row r="272" customFormat="false" ht="15" hidden="false" customHeight="false" outlineLevel="0" collapsed="false">
      <c r="A272" s="15"/>
      <c r="B272" s="16"/>
      <c r="C272" s="16"/>
      <c r="D272" s="16"/>
      <c r="E272" s="16"/>
      <c r="F272" s="17"/>
      <c r="G272" s="18" t="str">
        <f aca="false">IF(OR(A272="",F272=""),"",IF(E272="USD",F272*Settings!$B$6,F272))</f>
        <v/>
      </c>
      <c r="H272" s="19" t="str">
        <f aca="false">IF(OR(A272="",F272=""),"",IF(E272="USD",F272,F272/Settings!$B$6))</f>
        <v/>
      </c>
      <c r="I272" s="20" t="str">
        <f aca="false">IF(A272="","",DATE(YEAR(A272),MONTH(A272),1))</f>
        <v/>
      </c>
    </row>
    <row r="273" customFormat="false" ht="15" hidden="false" customHeight="false" outlineLevel="0" collapsed="false">
      <c r="A273" s="15"/>
      <c r="B273" s="16"/>
      <c r="C273" s="16"/>
      <c r="D273" s="16"/>
      <c r="E273" s="16"/>
      <c r="F273" s="17"/>
      <c r="G273" s="18" t="str">
        <f aca="false">IF(OR(A273="",F273=""),"",IF(E273="USD",F273*Settings!$B$6,F273))</f>
        <v/>
      </c>
      <c r="H273" s="19" t="str">
        <f aca="false">IF(OR(A273="",F273=""),"",IF(E273="USD",F273,F273/Settings!$B$6))</f>
        <v/>
      </c>
      <c r="I273" s="20" t="str">
        <f aca="false">IF(A273="","",DATE(YEAR(A273),MONTH(A273),1))</f>
        <v/>
      </c>
    </row>
    <row r="274" customFormat="false" ht="15" hidden="false" customHeight="false" outlineLevel="0" collapsed="false">
      <c r="A274" s="15"/>
      <c r="B274" s="16"/>
      <c r="C274" s="16"/>
      <c r="D274" s="16"/>
      <c r="E274" s="16"/>
      <c r="F274" s="17"/>
      <c r="G274" s="18" t="str">
        <f aca="false">IF(OR(A274="",F274=""),"",IF(E274="USD",F274*Settings!$B$6,F274))</f>
        <v/>
      </c>
      <c r="H274" s="19" t="str">
        <f aca="false">IF(OR(A274="",F274=""),"",IF(E274="USD",F274,F274/Settings!$B$6))</f>
        <v/>
      </c>
      <c r="I274" s="20" t="str">
        <f aca="false">IF(A274="","",DATE(YEAR(A274),MONTH(A274),1))</f>
        <v/>
      </c>
    </row>
    <row r="275" customFormat="false" ht="15" hidden="false" customHeight="false" outlineLevel="0" collapsed="false">
      <c r="A275" s="15"/>
      <c r="B275" s="16"/>
      <c r="C275" s="16"/>
      <c r="D275" s="16"/>
      <c r="E275" s="16"/>
      <c r="F275" s="17"/>
      <c r="G275" s="18" t="str">
        <f aca="false">IF(OR(A275="",F275=""),"",IF(E275="USD",F275*Settings!$B$6,F275))</f>
        <v/>
      </c>
      <c r="H275" s="19" t="str">
        <f aca="false">IF(OR(A275="",F275=""),"",IF(E275="USD",F275,F275/Settings!$B$6))</f>
        <v/>
      </c>
      <c r="I275" s="20" t="str">
        <f aca="false">IF(A275="","",DATE(YEAR(A275),MONTH(A275),1))</f>
        <v/>
      </c>
    </row>
    <row r="276" customFormat="false" ht="15" hidden="false" customHeight="false" outlineLevel="0" collapsed="false">
      <c r="A276" s="15"/>
      <c r="B276" s="16"/>
      <c r="C276" s="16"/>
      <c r="D276" s="16"/>
      <c r="E276" s="16"/>
      <c r="F276" s="17"/>
      <c r="G276" s="18" t="str">
        <f aca="false">IF(OR(A276="",F276=""),"",IF(E276="USD",F276*Settings!$B$6,F276))</f>
        <v/>
      </c>
      <c r="H276" s="19" t="str">
        <f aca="false">IF(OR(A276="",F276=""),"",IF(E276="USD",F276,F276/Settings!$B$6))</f>
        <v/>
      </c>
      <c r="I276" s="20" t="str">
        <f aca="false">IF(A276="","",DATE(YEAR(A276),MONTH(A276),1))</f>
        <v/>
      </c>
    </row>
    <row r="277" customFormat="false" ht="15" hidden="false" customHeight="false" outlineLevel="0" collapsed="false">
      <c r="A277" s="15"/>
      <c r="B277" s="16"/>
      <c r="C277" s="16"/>
      <c r="D277" s="16"/>
      <c r="E277" s="16"/>
      <c r="F277" s="17"/>
      <c r="G277" s="18" t="str">
        <f aca="false">IF(OR(A277="",F277=""),"",IF(E277="USD",F277*Settings!$B$6,F277))</f>
        <v/>
      </c>
      <c r="H277" s="19" t="str">
        <f aca="false">IF(OR(A277="",F277=""),"",IF(E277="USD",F277,F277/Settings!$B$6))</f>
        <v/>
      </c>
      <c r="I277" s="20" t="str">
        <f aca="false">IF(A277="","",DATE(YEAR(A277),MONTH(A277),1))</f>
        <v/>
      </c>
    </row>
    <row r="278" customFormat="false" ht="15" hidden="false" customHeight="false" outlineLevel="0" collapsed="false">
      <c r="A278" s="15"/>
      <c r="B278" s="16"/>
      <c r="C278" s="16"/>
      <c r="D278" s="16"/>
      <c r="E278" s="16"/>
      <c r="F278" s="17"/>
      <c r="G278" s="18" t="str">
        <f aca="false">IF(OR(A278="",F278=""),"",IF(E278="USD",F278*Settings!$B$6,F278))</f>
        <v/>
      </c>
      <c r="H278" s="19" t="str">
        <f aca="false">IF(OR(A278="",F278=""),"",IF(E278="USD",F278,F278/Settings!$B$6))</f>
        <v/>
      </c>
      <c r="I278" s="20" t="str">
        <f aca="false">IF(A278="","",DATE(YEAR(A278),MONTH(A278),1))</f>
        <v/>
      </c>
    </row>
    <row r="279" customFormat="false" ht="15" hidden="false" customHeight="false" outlineLevel="0" collapsed="false">
      <c r="A279" s="15"/>
      <c r="B279" s="16"/>
      <c r="C279" s="16"/>
      <c r="D279" s="16"/>
      <c r="E279" s="16"/>
      <c r="F279" s="17"/>
      <c r="G279" s="18" t="str">
        <f aca="false">IF(OR(A279="",F279=""),"",IF(E279="USD",F279*Settings!$B$6,F279))</f>
        <v/>
      </c>
      <c r="H279" s="19" t="str">
        <f aca="false">IF(OR(A279="",F279=""),"",IF(E279="USD",F279,F279/Settings!$B$6))</f>
        <v/>
      </c>
      <c r="I279" s="20" t="str">
        <f aca="false">IF(A279="","",DATE(YEAR(A279),MONTH(A279),1))</f>
        <v/>
      </c>
    </row>
    <row r="280" customFormat="false" ht="15" hidden="false" customHeight="false" outlineLevel="0" collapsed="false">
      <c r="A280" s="15"/>
      <c r="B280" s="16"/>
      <c r="C280" s="16"/>
      <c r="D280" s="16"/>
      <c r="E280" s="16"/>
      <c r="F280" s="17"/>
      <c r="G280" s="18" t="str">
        <f aca="false">IF(OR(A280="",F280=""),"",IF(E280="USD",F280*Settings!$B$6,F280))</f>
        <v/>
      </c>
      <c r="H280" s="19" t="str">
        <f aca="false">IF(OR(A280="",F280=""),"",IF(E280="USD",F280,F280/Settings!$B$6))</f>
        <v/>
      </c>
      <c r="I280" s="20" t="str">
        <f aca="false">IF(A280="","",DATE(YEAR(A280),MONTH(A280),1))</f>
        <v/>
      </c>
    </row>
    <row r="281" customFormat="false" ht="15" hidden="false" customHeight="false" outlineLevel="0" collapsed="false">
      <c r="A281" s="15"/>
      <c r="B281" s="16"/>
      <c r="C281" s="16"/>
      <c r="D281" s="16"/>
      <c r="E281" s="16"/>
      <c r="F281" s="17"/>
      <c r="G281" s="18" t="str">
        <f aca="false">IF(OR(A281="",F281=""),"",IF(E281="USD",F281*Settings!$B$6,F281))</f>
        <v/>
      </c>
      <c r="H281" s="19" t="str">
        <f aca="false">IF(OR(A281="",F281=""),"",IF(E281="USD",F281,F281/Settings!$B$6))</f>
        <v/>
      </c>
      <c r="I281" s="20" t="str">
        <f aca="false">IF(A281="","",DATE(YEAR(A281),MONTH(A281),1))</f>
        <v/>
      </c>
    </row>
    <row r="282" customFormat="false" ht="15" hidden="false" customHeight="false" outlineLevel="0" collapsed="false">
      <c r="A282" s="15"/>
      <c r="B282" s="16"/>
      <c r="C282" s="16"/>
      <c r="D282" s="16"/>
      <c r="E282" s="16"/>
      <c r="F282" s="17"/>
      <c r="G282" s="18" t="str">
        <f aca="false">IF(OR(A282="",F282=""),"",IF(E282="USD",F282*Settings!$B$6,F282))</f>
        <v/>
      </c>
      <c r="H282" s="19" t="str">
        <f aca="false">IF(OR(A282="",F282=""),"",IF(E282="USD",F282,F282/Settings!$B$6))</f>
        <v/>
      </c>
      <c r="I282" s="20" t="str">
        <f aca="false">IF(A282="","",DATE(YEAR(A282),MONTH(A282),1))</f>
        <v/>
      </c>
    </row>
    <row r="283" customFormat="false" ht="15" hidden="false" customHeight="false" outlineLevel="0" collapsed="false">
      <c r="A283" s="15"/>
      <c r="B283" s="16"/>
      <c r="C283" s="16"/>
      <c r="D283" s="16"/>
      <c r="E283" s="16"/>
      <c r="F283" s="17"/>
      <c r="G283" s="18" t="str">
        <f aca="false">IF(OR(A283="",F283=""),"",IF(E283="USD",F283*Settings!$B$6,F283))</f>
        <v/>
      </c>
      <c r="H283" s="19" t="str">
        <f aca="false">IF(OR(A283="",F283=""),"",IF(E283="USD",F283,F283/Settings!$B$6))</f>
        <v/>
      </c>
      <c r="I283" s="20" t="str">
        <f aca="false">IF(A283="","",DATE(YEAR(A283),MONTH(A283),1))</f>
        <v/>
      </c>
    </row>
    <row r="284" customFormat="false" ht="15" hidden="false" customHeight="false" outlineLevel="0" collapsed="false">
      <c r="A284" s="15"/>
      <c r="B284" s="16"/>
      <c r="C284" s="16"/>
      <c r="D284" s="16"/>
      <c r="E284" s="16"/>
      <c r="F284" s="17"/>
      <c r="G284" s="18" t="str">
        <f aca="false">IF(OR(A284="",F284=""),"",IF(E284="USD",F284*Settings!$B$6,F284))</f>
        <v/>
      </c>
      <c r="H284" s="19" t="str">
        <f aca="false">IF(OR(A284="",F284=""),"",IF(E284="USD",F284,F284/Settings!$B$6))</f>
        <v/>
      </c>
      <c r="I284" s="20" t="str">
        <f aca="false">IF(A284="","",DATE(YEAR(A284),MONTH(A284),1))</f>
        <v/>
      </c>
    </row>
    <row r="285" customFormat="false" ht="15" hidden="false" customHeight="false" outlineLevel="0" collapsed="false">
      <c r="A285" s="15"/>
      <c r="B285" s="16"/>
      <c r="C285" s="16"/>
      <c r="D285" s="16"/>
      <c r="E285" s="16"/>
      <c r="F285" s="17"/>
      <c r="G285" s="18" t="str">
        <f aca="false">IF(OR(A285="",F285=""),"",IF(E285="USD",F285*Settings!$B$6,F285))</f>
        <v/>
      </c>
      <c r="H285" s="19" t="str">
        <f aca="false">IF(OR(A285="",F285=""),"",IF(E285="USD",F285,F285/Settings!$B$6))</f>
        <v/>
      </c>
      <c r="I285" s="20" t="str">
        <f aca="false">IF(A285="","",DATE(YEAR(A285),MONTH(A285),1))</f>
        <v/>
      </c>
    </row>
    <row r="286" customFormat="false" ht="15" hidden="false" customHeight="false" outlineLevel="0" collapsed="false">
      <c r="A286" s="15"/>
      <c r="B286" s="16"/>
      <c r="C286" s="16"/>
      <c r="D286" s="16"/>
      <c r="E286" s="16"/>
      <c r="F286" s="17"/>
      <c r="G286" s="18" t="str">
        <f aca="false">IF(OR(A286="",F286=""),"",IF(E286="USD",F286*Settings!$B$6,F286))</f>
        <v/>
      </c>
      <c r="H286" s="19" t="str">
        <f aca="false">IF(OR(A286="",F286=""),"",IF(E286="USD",F286,F286/Settings!$B$6))</f>
        <v/>
      </c>
      <c r="I286" s="20" t="str">
        <f aca="false">IF(A286="","",DATE(YEAR(A286),MONTH(A286),1))</f>
        <v/>
      </c>
    </row>
    <row r="287" customFormat="false" ht="15" hidden="false" customHeight="false" outlineLevel="0" collapsed="false">
      <c r="A287" s="15"/>
      <c r="B287" s="16"/>
      <c r="C287" s="16"/>
      <c r="D287" s="16"/>
      <c r="E287" s="16"/>
      <c r="F287" s="17"/>
      <c r="G287" s="18" t="str">
        <f aca="false">IF(OR(A287="",F287=""),"",IF(E287="USD",F287*Settings!$B$6,F287))</f>
        <v/>
      </c>
      <c r="H287" s="19" t="str">
        <f aca="false">IF(OR(A287="",F287=""),"",IF(E287="USD",F287,F287/Settings!$B$6))</f>
        <v/>
      </c>
      <c r="I287" s="20" t="str">
        <f aca="false">IF(A287="","",DATE(YEAR(A287),MONTH(A287),1))</f>
        <v/>
      </c>
    </row>
    <row r="288" customFormat="false" ht="15" hidden="false" customHeight="false" outlineLevel="0" collapsed="false">
      <c r="A288" s="15"/>
      <c r="B288" s="16"/>
      <c r="C288" s="16"/>
      <c r="D288" s="16"/>
      <c r="E288" s="16"/>
      <c r="F288" s="17"/>
      <c r="G288" s="18" t="str">
        <f aca="false">IF(OR(A288="",F288=""),"",IF(E288="USD",F288*Settings!$B$6,F288))</f>
        <v/>
      </c>
      <c r="H288" s="19" t="str">
        <f aca="false">IF(OR(A288="",F288=""),"",IF(E288="USD",F288,F288/Settings!$B$6))</f>
        <v/>
      </c>
      <c r="I288" s="20" t="str">
        <f aca="false">IF(A288="","",DATE(YEAR(A288),MONTH(A288),1))</f>
        <v/>
      </c>
    </row>
    <row r="289" customFormat="false" ht="15" hidden="false" customHeight="false" outlineLevel="0" collapsed="false">
      <c r="A289" s="15"/>
      <c r="B289" s="16"/>
      <c r="C289" s="16"/>
      <c r="D289" s="16"/>
      <c r="E289" s="16"/>
      <c r="F289" s="17"/>
      <c r="G289" s="18" t="str">
        <f aca="false">IF(OR(A289="",F289=""),"",IF(E289="USD",F289*Settings!$B$6,F289))</f>
        <v/>
      </c>
      <c r="H289" s="19" t="str">
        <f aca="false">IF(OR(A289="",F289=""),"",IF(E289="USD",F289,F289/Settings!$B$6))</f>
        <v/>
      </c>
      <c r="I289" s="20" t="str">
        <f aca="false">IF(A289="","",DATE(YEAR(A289),MONTH(A289),1))</f>
        <v/>
      </c>
    </row>
    <row r="290" customFormat="false" ht="15" hidden="false" customHeight="false" outlineLevel="0" collapsed="false">
      <c r="A290" s="15"/>
      <c r="B290" s="16"/>
      <c r="C290" s="16"/>
      <c r="D290" s="16"/>
      <c r="E290" s="16"/>
      <c r="F290" s="17"/>
      <c r="G290" s="18" t="str">
        <f aca="false">IF(OR(A290="",F290=""),"",IF(E290="USD",F290*Settings!$B$6,F290))</f>
        <v/>
      </c>
      <c r="H290" s="19" t="str">
        <f aca="false">IF(OR(A290="",F290=""),"",IF(E290="USD",F290,F290/Settings!$B$6))</f>
        <v/>
      </c>
      <c r="I290" s="20" t="str">
        <f aca="false">IF(A290="","",DATE(YEAR(A290),MONTH(A290),1))</f>
        <v/>
      </c>
    </row>
    <row r="291" customFormat="false" ht="15" hidden="false" customHeight="false" outlineLevel="0" collapsed="false">
      <c r="A291" s="15"/>
      <c r="B291" s="16"/>
      <c r="C291" s="16"/>
      <c r="D291" s="16"/>
      <c r="E291" s="16"/>
      <c r="F291" s="17"/>
      <c r="G291" s="18" t="str">
        <f aca="false">IF(OR(A291="",F291=""),"",IF(E291="USD",F291*Settings!$B$6,F291))</f>
        <v/>
      </c>
      <c r="H291" s="19" t="str">
        <f aca="false">IF(OR(A291="",F291=""),"",IF(E291="USD",F291,F291/Settings!$B$6))</f>
        <v/>
      </c>
      <c r="I291" s="20" t="str">
        <f aca="false">IF(A291="","",DATE(YEAR(A291),MONTH(A291),1))</f>
        <v/>
      </c>
    </row>
    <row r="292" customFormat="false" ht="15" hidden="false" customHeight="false" outlineLevel="0" collapsed="false">
      <c r="A292" s="15"/>
      <c r="B292" s="16"/>
      <c r="C292" s="16"/>
      <c r="D292" s="16"/>
      <c r="E292" s="16"/>
      <c r="F292" s="17"/>
      <c r="G292" s="18" t="str">
        <f aca="false">IF(OR(A292="",F292=""),"",IF(E292="USD",F292*Settings!$B$6,F292))</f>
        <v/>
      </c>
      <c r="H292" s="19" t="str">
        <f aca="false">IF(OR(A292="",F292=""),"",IF(E292="USD",F292,F292/Settings!$B$6))</f>
        <v/>
      </c>
      <c r="I292" s="20" t="str">
        <f aca="false">IF(A292="","",DATE(YEAR(A292),MONTH(A292),1))</f>
        <v/>
      </c>
    </row>
    <row r="293" customFormat="false" ht="15" hidden="false" customHeight="false" outlineLevel="0" collapsed="false">
      <c r="A293" s="15"/>
      <c r="B293" s="16"/>
      <c r="C293" s="16"/>
      <c r="D293" s="16"/>
      <c r="E293" s="16"/>
      <c r="F293" s="17"/>
      <c r="G293" s="18" t="str">
        <f aca="false">IF(OR(A293="",F293=""),"",IF(E293="USD",F293*Settings!$B$6,F293))</f>
        <v/>
      </c>
      <c r="H293" s="19" t="str">
        <f aca="false">IF(OR(A293="",F293=""),"",IF(E293="USD",F293,F293/Settings!$B$6))</f>
        <v/>
      </c>
      <c r="I293" s="20" t="str">
        <f aca="false">IF(A293="","",DATE(YEAR(A293),MONTH(A293),1))</f>
        <v/>
      </c>
    </row>
    <row r="294" customFormat="false" ht="15" hidden="false" customHeight="false" outlineLevel="0" collapsed="false">
      <c r="A294" s="15"/>
      <c r="B294" s="16"/>
      <c r="C294" s="16"/>
      <c r="D294" s="16"/>
      <c r="E294" s="16"/>
      <c r="F294" s="17"/>
      <c r="G294" s="18" t="str">
        <f aca="false">IF(OR(A294="",F294=""),"",IF(E294="USD",F294*Settings!$B$6,F294))</f>
        <v/>
      </c>
      <c r="H294" s="19" t="str">
        <f aca="false">IF(OR(A294="",F294=""),"",IF(E294="USD",F294,F294/Settings!$B$6))</f>
        <v/>
      </c>
      <c r="I294" s="20" t="str">
        <f aca="false">IF(A294="","",DATE(YEAR(A294),MONTH(A294),1))</f>
        <v/>
      </c>
    </row>
    <row r="295" customFormat="false" ht="15" hidden="false" customHeight="false" outlineLevel="0" collapsed="false">
      <c r="A295" s="15"/>
      <c r="B295" s="16"/>
      <c r="C295" s="16"/>
      <c r="D295" s="16"/>
      <c r="E295" s="16"/>
      <c r="F295" s="17"/>
      <c r="G295" s="18" t="str">
        <f aca="false">IF(OR(A295="",F295=""),"",IF(E295="USD",F295*Settings!$B$6,F295))</f>
        <v/>
      </c>
      <c r="H295" s="19" t="str">
        <f aca="false">IF(OR(A295="",F295=""),"",IF(E295="USD",F295,F295/Settings!$B$6))</f>
        <v/>
      </c>
      <c r="I295" s="20" t="str">
        <f aca="false">IF(A295="","",DATE(YEAR(A295),MONTH(A295),1))</f>
        <v/>
      </c>
    </row>
    <row r="296" customFormat="false" ht="15" hidden="false" customHeight="false" outlineLevel="0" collapsed="false">
      <c r="A296" s="15"/>
      <c r="B296" s="16"/>
      <c r="C296" s="16"/>
      <c r="D296" s="16"/>
      <c r="E296" s="16"/>
      <c r="F296" s="17"/>
      <c r="G296" s="18" t="str">
        <f aca="false">IF(OR(A296="",F296=""),"",IF(E296="USD",F296*Settings!$B$6,F296))</f>
        <v/>
      </c>
      <c r="H296" s="19" t="str">
        <f aca="false">IF(OR(A296="",F296=""),"",IF(E296="USD",F296,F296/Settings!$B$6))</f>
        <v/>
      </c>
      <c r="I296" s="20" t="str">
        <f aca="false">IF(A296="","",DATE(YEAR(A296),MONTH(A296),1))</f>
        <v/>
      </c>
    </row>
    <row r="297" customFormat="false" ht="15" hidden="false" customHeight="false" outlineLevel="0" collapsed="false">
      <c r="A297" s="15"/>
      <c r="B297" s="16"/>
      <c r="C297" s="16"/>
      <c r="D297" s="16"/>
      <c r="E297" s="16"/>
      <c r="F297" s="17"/>
      <c r="G297" s="18" t="str">
        <f aca="false">IF(OR(A297="",F297=""),"",IF(E297="USD",F297*Settings!$B$6,F297))</f>
        <v/>
      </c>
      <c r="H297" s="19" t="str">
        <f aca="false">IF(OR(A297="",F297=""),"",IF(E297="USD",F297,F297/Settings!$B$6))</f>
        <v/>
      </c>
      <c r="I297" s="20" t="str">
        <f aca="false">IF(A297="","",DATE(YEAR(A297),MONTH(A297),1))</f>
        <v/>
      </c>
    </row>
    <row r="298" customFormat="false" ht="15" hidden="false" customHeight="false" outlineLevel="0" collapsed="false">
      <c r="A298" s="15"/>
      <c r="B298" s="16"/>
      <c r="C298" s="16"/>
      <c r="D298" s="16"/>
      <c r="E298" s="16"/>
      <c r="F298" s="17"/>
      <c r="G298" s="18" t="str">
        <f aca="false">IF(OR(A298="",F298=""),"",IF(E298="USD",F298*Settings!$B$6,F298))</f>
        <v/>
      </c>
      <c r="H298" s="19" t="str">
        <f aca="false">IF(OR(A298="",F298=""),"",IF(E298="USD",F298,F298/Settings!$B$6))</f>
        <v/>
      </c>
      <c r="I298" s="20" t="str">
        <f aca="false">IF(A298="","",DATE(YEAR(A298),MONTH(A298),1))</f>
        <v/>
      </c>
    </row>
    <row r="299" customFormat="false" ht="15" hidden="false" customHeight="false" outlineLevel="0" collapsed="false">
      <c r="A299" s="15"/>
      <c r="B299" s="16"/>
      <c r="C299" s="16"/>
      <c r="D299" s="16"/>
      <c r="E299" s="16"/>
      <c r="F299" s="17"/>
      <c r="G299" s="18" t="str">
        <f aca="false">IF(OR(A299="",F299=""),"",IF(E299="USD",F299*Settings!$B$6,F299))</f>
        <v/>
      </c>
      <c r="H299" s="19" t="str">
        <f aca="false">IF(OR(A299="",F299=""),"",IF(E299="USD",F299,F299/Settings!$B$6))</f>
        <v/>
      </c>
      <c r="I299" s="20" t="str">
        <f aca="false">IF(A299="","",DATE(YEAR(A299),MONTH(A299),1))</f>
        <v/>
      </c>
    </row>
    <row r="300" customFormat="false" ht="15" hidden="false" customHeight="false" outlineLevel="0" collapsed="false">
      <c r="A300" s="15"/>
      <c r="B300" s="16"/>
      <c r="C300" s="16"/>
      <c r="D300" s="16"/>
      <c r="E300" s="16"/>
      <c r="F300" s="17"/>
      <c r="G300" s="18" t="str">
        <f aca="false">IF(OR(A300="",F300=""),"",IF(E300="USD",F300*Settings!$B$6,F300))</f>
        <v/>
      </c>
      <c r="H300" s="19" t="str">
        <f aca="false">IF(OR(A300="",F300=""),"",IF(E300="USD",F300,F300/Settings!$B$6))</f>
        <v/>
      </c>
      <c r="I300" s="20" t="str">
        <f aca="false">IF(A300="","",DATE(YEAR(A300),MONTH(A300),1))</f>
        <v/>
      </c>
    </row>
    <row r="301" customFormat="false" ht="15" hidden="false" customHeight="false" outlineLevel="0" collapsed="false">
      <c r="A301" s="15"/>
      <c r="B301" s="16"/>
      <c r="C301" s="16"/>
      <c r="D301" s="16"/>
      <c r="E301" s="16"/>
      <c r="F301" s="17"/>
      <c r="G301" s="18" t="str">
        <f aca="false">IF(OR(A301="",F301=""),"",IF(E301="USD",F301*Settings!$B$6,F301))</f>
        <v/>
      </c>
      <c r="H301" s="19" t="str">
        <f aca="false">IF(OR(A301="",F301=""),"",IF(E301="USD",F301,F301/Settings!$B$6))</f>
        <v/>
      </c>
      <c r="I301" s="20" t="str">
        <f aca="false">IF(A301="","",DATE(YEAR(A301),MONTH(A301),1))</f>
        <v/>
      </c>
    </row>
    <row r="302" customFormat="false" ht="15" hidden="false" customHeight="false" outlineLevel="0" collapsed="false">
      <c r="A302" s="15"/>
      <c r="B302" s="16"/>
      <c r="C302" s="16"/>
      <c r="D302" s="16"/>
      <c r="E302" s="16"/>
      <c r="F302" s="17"/>
      <c r="G302" s="18" t="str">
        <f aca="false">IF(OR(A302="",F302=""),"",IF(E302="USD",F302*Settings!$B$6,F302))</f>
        <v/>
      </c>
      <c r="H302" s="19" t="str">
        <f aca="false">IF(OR(A302="",F302=""),"",IF(E302="USD",F302,F302/Settings!$B$6))</f>
        <v/>
      </c>
      <c r="I302" s="20" t="str">
        <f aca="false">IF(A302="","",DATE(YEAR(A302),MONTH(A302),1))</f>
        <v/>
      </c>
    </row>
    <row r="303" customFormat="false" ht="15" hidden="false" customHeight="false" outlineLevel="0" collapsed="false">
      <c r="A303" s="15"/>
      <c r="B303" s="16"/>
      <c r="C303" s="16"/>
      <c r="D303" s="16"/>
      <c r="E303" s="16"/>
      <c r="F303" s="17"/>
      <c r="G303" s="18" t="str">
        <f aca="false">IF(OR(A303="",F303=""),"",IF(E303="USD",F303*Settings!$B$6,F303))</f>
        <v/>
      </c>
      <c r="H303" s="19" t="str">
        <f aca="false">IF(OR(A303="",F303=""),"",IF(E303="USD",F303,F303/Settings!$B$6))</f>
        <v/>
      </c>
      <c r="I303" s="20" t="str">
        <f aca="false">IF(A303="","",DATE(YEAR(A303),MONTH(A303),1))</f>
        <v/>
      </c>
    </row>
    <row r="304" customFormat="false" ht="15" hidden="false" customHeight="false" outlineLevel="0" collapsed="false">
      <c r="A304" s="15"/>
      <c r="B304" s="16"/>
      <c r="C304" s="16"/>
      <c r="D304" s="16"/>
      <c r="E304" s="16"/>
      <c r="F304" s="17"/>
      <c r="G304" s="18" t="str">
        <f aca="false">IF(OR(A304="",F304=""),"",IF(E304="USD",F304*Settings!$B$6,F304))</f>
        <v/>
      </c>
      <c r="H304" s="19" t="str">
        <f aca="false">IF(OR(A304="",F304=""),"",IF(E304="USD",F304,F304/Settings!$B$6))</f>
        <v/>
      </c>
      <c r="I304" s="20" t="str">
        <f aca="false">IF(A304="","",DATE(YEAR(A304),MONTH(A304),1))</f>
        <v/>
      </c>
    </row>
    <row r="305" customFormat="false" ht="15" hidden="false" customHeight="false" outlineLevel="0" collapsed="false">
      <c r="A305" s="15"/>
      <c r="B305" s="16"/>
      <c r="C305" s="16"/>
      <c r="D305" s="16"/>
      <c r="E305" s="16"/>
      <c r="F305" s="17"/>
      <c r="G305" s="18" t="str">
        <f aca="false">IF(OR(A305="",F305=""),"",IF(E305="USD",F305*Settings!$B$6,F305))</f>
        <v/>
      </c>
      <c r="H305" s="19" t="str">
        <f aca="false">IF(OR(A305="",F305=""),"",IF(E305="USD",F305,F305/Settings!$B$6))</f>
        <v/>
      </c>
      <c r="I305" s="20" t="str">
        <f aca="false">IF(A305="","",DATE(YEAR(A305),MONTH(A305),1))</f>
        <v/>
      </c>
    </row>
    <row r="306" customFormat="false" ht="15" hidden="false" customHeight="false" outlineLevel="0" collapsed="false">
      <c r="A306" s="15"/>
      <c r="B306" s="16"/>
      <c r="C306" s="16"/>
      <c r="D306" s="16"/>
      <c r="E306" s="16"/>
      <c r="F306" s="17"/>
      <c r="G306" s="18" t="str">
        <f aca="false">IF(OR(A306="",F306=""),"",IF(E306="USD",F306*Settings!$B$6,F306))</f>
        <v/>
      </c>
      <c r="H306" s="19" t="str">
        <f aca="false">IF(OR(A306="",F306=""),"",IF(E306="USD",F306,F306/Settings!$B$6))</f>
        <v/>
      </c>
      <c r="I306" s="20" t="str">
        <f aca="false">IF(A306="","",DATE(YEAR(A306),MONTH(A306),1))</f>
        <v/>
      </c>
    </row>
    <row r="307" customFormat="false" ht="15" hidden="false" customHeight="false" outlineLevel="0" collapsed="false">
      <c r="A307" s="15"/>
      <c r="B307" s="16"/>
      <c r="C307" s="16"/>
      <c r="D307" s="16"/>
      <c r="E307" s="16"/>
      <c r="F307" s="17"/>
      <c r="G307" s="18" t="str">
        <f aca="false">IF(OR(A307="",F307=""),"",IF(E307="USD",F307*Settings!$B$6,F307))</f>
        <v/>
      </c>
      <c r="H307" s="19" t="str">
        <f aca="false">IF(OR(A307="",F307=""),"",IF(E307="USD",F307,F307/Settings!$B$6))</f>
        <v/>
      </c>
      <c r="I307" s="20" t="str">
        <f aca="false">IF(A307="","",DATE(YEAR(A307),MONTH(A307),1))</f>
        <v/>
      </c>
    </row>
    <row r="308" customFormat="false" ht="15" hidden="false" customHeight="false" outlineLevel="0" collapsed="false">
      <c r="A308" s="15"/>
      <c r="B308" s="16"/>
      <c r="C308" s="16"/>
      <c r="D308" s="16"/>
      <c r="E308" s="16"/>
      <c r="F308" s="17"/>
      <c r="G308" s="18" t="str">
        <f aca="false">IF(OR(A308="",F308=""),"",IF(E308="USD",F308*Settings!$B$6,F308))</f>
        <v/>
      </c>
      <c r="H308" s="19" t="str">
        <f aca="false">IF(OR(A308="",F308=""),"",IF(E308="USD",F308,F308/Settings!$B$6))</f>
        <v/>
      </c>
      <c r="I308" s="20" t="str">
        <f aca="false">IF(A308="","",DATE(YEAR(A308),MONTH(A308),1))</f>
        <v/>
      </c>
    </row>
    <row r="309" customFormat="false" ht="15" hidden="false" customHeight="false" outlineLevel="0" collapsed="false">
      <c r="A309" s="15"/>
      <c r="B309" s="16"/>
      <c r="C309" s="16"/>
      <c r="D309" s="16"/>
      <c r="E309" s="16"/>
      <c r="F309" s="17"/>
      <c r="G309" s="18" t="str">
        <f aca="false">IF(OR(A309="",F309=""),"",IF(E309="USD",F309*Settings!$B$6,F309))</f>
        <v/>
      </c>
      <c r="H309" s="19" t="str">
        <f aca="false">IF(OR(A309="",F309=""),"",IF(E309="USD",F309,F309/Settings!$B$6))</f>
        <v/>
      </c>
      <c r="I309" s="20" t="str">
        <f aca="false">IF(A309="","",DATE(YEAR(A309),MONTH(A309),1))</f>
        <v/>
      </c>
    </row>
    <row r="310" customFormat="false" ht="15" hidden="false" customHeight="false" outlineLevel="0" collapsed="false">
      <c r="A310" s="15"/>
      <c r="B310" s="16"/>
      <c r="C310" s="16"/>
      <c r="D310" s="16"/>
      <c r="E310" s="16"/>
      <c r="F310" s="17"/>
      <c r="G310" s="18" t="str">
        <f aca="false">IF(OR(A310="",F310=""),"",IF(E310="USD",F310*Settings!$B$6,F310))</f>
        <v/>
      </c>
      <c r="H310" s="19" t="str">
        <f aca="false">IF(OR(A310="",F310=""),"",IF(E310="USD",F310,F310/Settings!$B$6))</f>
        <v/>
      </c>
      <c r="I310" s="20" t="str">
        <f aca="false">IF(A310="","",DATE(YEAR(A310),MONTH(A310),1))</f>
        <v/>
      </c>
    </row>
    <row r="311" customFormat="false" ht="15" hidden="false" customHeight="false" outlineLevel="0" collapsed="false">
      <c r="A311" s="15"/>
      <c r="B311" s="16"/>
      <c r="C311" s="16"/>
      <c r="D311" s="16"/>
      <c r="E311" s="16"/>
      <c r="F311" s="17"/>
      <c r="G311" s="18" t="str">
        <f aca="false">IF(OR(A311="",F311=""),"",IF(E311="USD",F311*Settings!$B$6,F311))</f>
        <v/>
      </c>
      <c r="H311" s="19" t="str">
        <f aca="false">IF(OR(A311="",F311=""),"",IF(E311="USD",F311,F311/Settings!$B$6))</f>
        <v/>
      </c>
      <c r="I311" s="20" t="str">
        <f aca="false">IF(A311="","",DATE(YEAR(A311),MONTH(A311),1))</f>
        <v/>
      </c>
    </row>
    <row r="312" customFormat="false" ht="15" hidden="false" customHeight="false" outlineLevel="0" collapsed="false">
      <c r="A312" s="15"/>
      <c r="B312" s="16"/>
      <c r="C312" s="16"/>
      <c r="D312" s="16"/>
      <c r="E312" s="16"/>
      <c r="F312" s="17"/>
      <c r="G312" s="18" t="str">
        <f aca="false">IF(OR(A312="",F312=""),"",IF(E312="USD",F312*Settings!$B$6,F312))</f>
        <v/>
      </c>
      <c r="H312" s="19" t="str">
        <f aca="false">IF(OR(A312="",F312=""),"",IF(E312="USD",F312,F312/Settings!$B$6))</f>
        <v/>
      </c>
      <c r="I312" s="20" t="str">
        <f aca="false">IF(A312="","",DATE(YEAR(A312),MONTH(A312),1))</f>
        <v/>
      </c>
    </row>
    <row r="313" customFormat="false" ht="15" hidden="false" customHeight="false" outlineLevel="0" collapsed="false">
      <c r="A313" s="15"/>
      <c r="B313" s="16"/>
      <c r="C313" s="16"/>
      <c r="D313" s="16"/>
      <c r="E313" s="16"/>
      <c r="F313" s="17"/>
      <c r="G313" s="18" t="str">
        <f aca="false">IF(OR(A313="",F313=""),"",IF(E313="USD",F313*Settings!$B$6,F313))</f>
        <v/>
      </c>
      <c r="H313" s="19" t="str">
        <f aca="false">IF(OR(A313="",F313=""),"",IF(E313="USD",F313,F313/Settings!$B$6))</f>
        <v/>
      </c>
      <c r="I313" s="20" t="str">
        <f aca="false">IF(A313="","",DATE(YEAR(A313),MONTH(A313),1))</f>
        <v/>
      </c>
    </row>
    <row r="314" customFormat="false" ht="15" hidden="false" customHeight="false" outlineLevel="0" collapsed="false">
      <c r="A314" s="15"/>
      <c r="B314" s="16"/>
      <c r="C314" s="16"/>
      <c r="D314" s="16"/>
      <c r="E314" s="16"/>
      <c r="F314" s="17"/>
      <c r="G314" s="18" t="str">
        <f aca="false">IF(OR(A314="",F314=""),"",IF(E314="USD",F314*Settings!$B$6,F314))</f>
        <v/>
      </c>
      <c r="H314" s="19" t="str">
        <f aca="false">IF(OR(A314="",F314=""),"",IF(E314="USD",F314,F314/Settings!$B$6))</f>
        <v/>
      </c>
      <c r="I314" s="20" t="str">
        <f aca="false">IF(A314="","",DATE(YEAR(A314),MONTH(A314),1))</f>
        <v/>
      </c>
    </row>
    <row r="315" customFormat="false" ht="15" hidden="false" customHeight="false" outlineLevel="0" collapsed="false">
      <c r="A315" s="15"/>
      <c r="B315" s="16"/>
      <c r="C315" s="16"/>
      <c r="D315" s="16"/>
      <c r="E315" s="16"/>
      <c r="F315" s="17"/>
      <c r="G315" s="18" t="str">
        <f aca="false">IF(OR(A315="",F315=""),"",IF(E315="USD",F315*Settings!$B$6,F315))</f>
        <v/>
      </c>
      <c r="H315" s="19" t="str">
        <f aca="false">IF(OR(A315="",F315=""),"",IF(E315="USD",F315,F315/Settings!$B$6))</f>
        <v/>
      </c>
      <c r="I315" s="20" t="str">
        <f aca="false">IF(A315="","",DATE(YEAR(A315),MONTH(A315),1))</f>
        <v/>
      </c>
    </row>
    <row r="316" customFormat="false" ht="15" hidden="false" customHeight="false" outlineLevel="0" collapsed="false">
      <c r="A316" s="15"/>
      <c r="B316" s="16"/>
      <c r="C316" s="16"/>
      <c r="D316" s="16"/>
      <c r="E316" s="16"/>
      <c r="F316" s="17"/>
      <c r="G316" s="18" t="str">
        <f aca="false">IF(OR(A316="",F316=""),"",IF(E316="USD",F316*Settings!$B$6,F316))</f>
        <v/>
      </c>
      <c r="H316" s="19" t="str">
        <f aca="false">IF(OR(A316="",F316=""),"",IF(E316="USD",F316,F316/Settings!$B$6))</f>
        <v/>
      </c>
      <c r="I316" s="20" t="str">
        <f aca="false">IF(A316="","",DATE(YEAR(A316),MONTH(A316),1))</f>
        <v/>
      </c>
    </row>
    <row r="317" customFormat="false" ht="15" hidden="false" customHeight="false" outlineLevel="0" collapsed="false">
      <c r="A317" s="15"/>
      <c r="B317" s="16"/>
      <c r="C317" s="16"/>
      <c r="D317" s="16"/>
      <c r="E317" s="16"/>
      <c r="F317" s="17"/>
      <c r="G317" s="18" t="str">
        <f aca="false">IF(OR(A317="",F317=""),"",IF(E317="USD",F317*Settings!$B$6,F317))</f>
        <v/>
      </c>
      <c r="H317" s="19" t="str">
        <f aca="false">IF(OR(A317="",F317=""),"",IF(E317="USD",F317,F317/Settings!$B$6))</f>
        <v/>
      </c>
      <c r="I317" s="20" t="str">
        <f aca="false">IF(A317="","",DATE(YEAR(A317),MONTH(A317),1))</f>
        <v/>
      </c>
    </row>
    <row r="318" customFormat="false" ht="15" hidden="false" customHeight="false" outlineLevel="0" collapsed="false">
      <c r="A318" s="15"/>
      <c r="B318" s="16"/>
      <c r="C318" s="16"/>
      <c r="D318" s="16"/>
      <c r="E318" s="16"/>
      <c r="F318" s="17"/>
      <c r="G318" s="18" t="str">
        <f aca="false">IF(OR(A318="",F318=""),"",IF(E318="USD",F318*Settings!$B$6,F318))</f>
        <v/>
      </c>
      <c r="H318" s="19" t="str">
        <f aca="false">IF(OR(A318="",F318=""),"",IF(E318="USD",F318,F318/Settings!$B$6))</f>
        <v/>
      </c>
      <c r="I318" s="20" t="str">
        <f aca="false">IF(A318="","",DATE(YEAR(A318),MONTH(A318),1))</f>
        <v/>
      </c>
    </row>
    <row r="319" customFormat="false" ht="15" hidden="false" customHeight="false" outlineLevel="0" collapsed="false">
      <c r="A319" s="15"/>
      <c r="B319" s="16"/>
      <c r="C319" s="16"/>
      <c r="D319" s="16"/>
      <c r="E319" s="16"/>
      <c r="F319" s="17"/>
      <c r="G319" s="18" t="str">
        <f aca="false">IF(OR(A319="",F319=""),"",IF(E319="USD",F319*Settings!$B$6,F319))</f>
        <v/>
      </c>
      <c r="H319" s="19" t="str">
        <f aca="false">IF(OR(A319="",F319=""),"",IF(E319="USD",F319,F319/Settings!$B$6))</f>
        <v/>
      </c>
      <c r="I319" s="20" t="str">
        <f aca="false">IF(A319="","",DATE(YEAR(A319),MONTH(A319),1))</f>
        <v/>
      </c>
    </row>
    <row r="320" customFormat="false" ht="15" hidden="false" customHeight="false" outlineLevel="0" collapsed="false">
      <c r="A320" s="15"/>
      <c r="B320" s="16"/>
      <c r="C320" s="16"/>
      <c r="D320" s="16"/>
      <c r="E320" s="16"/>
      <c r="F320" s="17"/>
      <c r="G320" s="18" t="str">
        <f aca="false">IF(OR(A320="",F320=""),"",IF(E320="USD",F320*Settings!$B$6,F320))</f>
        <v/>
      </c>
      <c r="H320" s="19" t="str">
        <f aca="false">IF(OR(A320="",F320=""),"",IF(E320="USD",F320,F320/Settings!$B$6))</f>
        <v/>
      </c>
      <c r="I320" s="20" t="str">
        <f aca="false">IF(A320="","",DATE(YEAR(A320),MONTH(A320),1))</f>
        <v/>
      </c>
    </row>
    <row r="321" customFormat="false" ht="15" hidden="false" customHeight="false" outlineLevel="0" collapsed="false">
      <c r="A321" s="15"/>
      <c r="B321" s="16"/>
      <c r="C321" s="16"/>
      <c r="D321" s="16"/>
      <c r="E321" s="16"/>
      <c r="F321" s="17"/>
      <c r="G321" s="18" t="str">
        <f aca="false">IF(OR(A321="",F321=""),"",IF(E321="USD",F321*Settings!$B$6,F321))</f>
        <v/>
      </c>
      <c r="H321" s="19" t="str">
        <f aca="false">IF(OR(A321="",F321=""),"",IF(E321="USD",F321,F321/Settings!$B$6))</f>
        <v/>
      </c>
      <c r="I321" s="20" t="str">
        <f aca="false">IF(A321="","",DATE(YEAR(A321),MONTH(A321),1))</f>
        <v/>
      </c>
    </row>
    <row r="322" customFormat="false" ht="15" hidden="false" customHeight="false" outlineLevel="0" collapsed="false">
      <c r="A322" s="15"/>
      <c r="B322" s="16"/>
      <c r="C322" s="16"/>
      <c r="D322" s="16"/>
      <c r="E322" s="16"/>
      <c r="F322" s="17"/>
      <c r="G322" s="18" t="str">
        <f aca="false">IF(OR(A322="",F322=""),"",IF(E322="USD",F322*Settings!$B$6,F322))</f>
        <v/>
      </c>
      <c r="H322" s="19" t="str">
        <f aca="false">IF(OR(A322="",F322=""),"",IF(E322="USD",F322,F322/Settings!$B$6))</f>
        <v/>
      </c>
      <c r="I322" s="20" t="str">
        <f aca="false">IF(A322="","",DATE(YEAR(A322),MONTH(A322),1))</f>
        <v/>
      </c>
    </row>
    <row r="323" customFormat="false" ht="15" hidden="false" customHeight="false" outlineLevel="0" collapsed="false">
      <c r="A323" s="15"/>
      <c r="B323" s="16"/>
      <c r="C323" s="16"/>
      <c r="D323" s="16"/>
      <c r="E323" s="16"/>
      <c r="F323" s="17"/>
      <c r="G323" s="18" t="str">
        <f aca="false">IF(OR(A323="",F323=""),"",IF(E323="USD",F323*Settings!$B$6,F323))</f>
        <v/>
      </c>
      <c r="H323" s="19" t="str">
        <f aca="false">IF(OR(A323="",F323=""),"",IF(E323="USD",F323,F323/Settings!$B$6))</f>
        <v/>
      </c>
      <c r="I323" s="20" t="str">
        <f aca="false">IF(A323="","",DATE(YEAR(A323),MONTH(A323),1))</f>
        <v/>
      </c>
    </row>
    <row r="324" customFormat="false" ht="15" hidden="false" customHeight="false" outlineLevel="0" collapsed="false">
      <c r="A324" s="15"/>
      <c r="B324" s="16"/>
      <c r="C324" s="16"/>
      <c r="D324" s="16"/>
      <c r="E324" s="16"/>
      <c r="F324" s="17"/>
      <c r="G324" s="18" t="str">
        <f aca="false">IF(OR(A324="",F324=""),"",IF(E324="USD",F324*Settings!$B$6,F324))</f>
        <v/>
      </c>
      <c r="H324" s="19" t="str">
        <f aca="false">IF(OR(A324="",F324=""),"",IF(E324="USD",F324,F324/Settings!$B$6))</f>
        <v/>
      </c>
      <c r="I324" s="20" t="str">
        <f aca="false">IF(A324="","",DATE(YEAR(A324),MONTH(A324),1))</f>
        <v/>
      </c>
    </row>
    <row r="325" customFormat="false" ht="15" hidden="false" customHeight="false" outlineLevel="0" collapsed="false">
      <c r="A325" s="15"/>
      <c r="B325" s="16"/>
      <c r="C325" s="16"/>
      <c r="D325" s="16"/>
      <c r="E325" s="16"/>
      <c r="F325" s="17"/>
      <c r="G325" s="18" t="str">
        <f aca="false">IF(OR(A325="",F325=""),"",IF(E325="USD",F325*Settings!$B$6,F325))</f>
        <v/>
      </c>
      <c r="H325" s="19" t="str">
        <f aca="false">IF(OR(A325="",F325=""),"",IF(E325="USD",F325,F325/Settings!$B$6))</f>
        <v/>
      </c>
      <c r="I325" s="20" t="str">
        <f aca="false">IF(A325="","",DATE(YEAR(A325),MONTH(A325),1))</f>
        <v/>
      </c>
    </row>
    <row r="326" customFormat="false" ht="15" hidden="false" customHeight="false" outlineLevel="0" collapsed="false">
      <c r="A326" s="15"/>
      <c r="B326" s="16"/>
      <c r="C326" s="16"/>
      <c r="D326" s="16"/>
      <c r="E326" s="16"/>
      <c r="F326" s="17"/>
      <c r="G326" s="18" t="str">
        <f aca="false">IF(OR(A326="",F326=""),"",IF(E326="USD",F326*Settings!$B$6,F326))</f>
        <v/>
      </c>
      <c r="H326" s="19" t="str">
        <f aca="false">IF(OR(A326="",F326=""),"",IF(E326="USD",F326,F326/Settings!$B$6))</f>
        <v/>
      </c>
      <c r="I326" s="20" t="str">
        <f aca="false">IF(A326="","",DATE(YEAR(A326),MONTH(A326),1))</f>
        <v/>
      </c>
    </row>
    <row r="327" customFormat="false" ht="15" hidden="false" customHeight="false" outlineLevel="0" collapsed="false">
      <c r="A327" s="15"/>
      <c r="B327" s="16"/>
      <c r="C327" s="16"/>
      <c r="D327" s="16"/>
      <c r="E327" s="16"/>
      <c r="F327" s="17"/>
      <c r="G327" s="18" t="str">
        <f aca="false">IF(OR(A327="",F327=""),"",IF(E327="USD",F327*Settings!$B$6,F327))</f>
        <v/>
      </c>
      <c r="H327" s="19" t="str">
        <f aca="false">IF(OR(A327="",F327=""),"",IF(E327="USD",F327,F327/Settings!$B$6))</f>
        <v/>
      </c>
      <c r="I327" s="20" t="str">
        <f aca="false">IF(A327="","",DATE(YEAR(A327),MONTH(A327),1))</f>
        <v/>
      </c>
    </row>
    <row r="328" customFormat="false" ht="15" hidden="false" customHeight="false" outlineLevel="0" collapsed="false">
      <c r="A328" s="15"/>
      <c r="B328" s="16"/>
      <c r="C328" s="16"/>
      <c r="D328" s="16"/>
      <c r="E328" s="16"/>
      <c r="F328" s="17"/>
      <c r="G328" s="18" t="str">
        <f aca="false">IF(OR(A328="",F328=""),"",IF(E328="USD",F328*Settings!$B$6,F328))</f>
        <v/>
      </c>
      <c r="H328" s="19" t="str">
        <f aca="false">IF(OR(A328="",F328=""),"",IF(E328="USD",F328,F328/Settings!$B$6))</f>
        <v/>
      </c>
      <c r="I328" s="20" t="str">
        <f aca="false">IF(A328="","",DATE(YEAR(A328),MONTH(A328),1))</f>
        <v/>
      </c>
    </row>
    <row r="329" customFormat="false" ht="15" hidden="false" customHeight="false" outlineLevel="0" collapsed="false">
      <c r="A329" s="15"/>
      <c r="B329" s="16"/>
      <c r="C329" s="16"/>
      <c r="D329" s="16"/>
      <c r="E329" s="16"/>
      <c r="F329" s="17"/>
      <c r="G329" s="18" t="str">
        <f aca="false">IF(OR(A329="",F329=""),"",IF(E329="USD",F329*Settings!$B$6,F329))</f>
        <v/>
      </c>
      <c r="H329" s="19" t="str">
        <f aca="false">IF(OR(A329="",F329=""),"",IF(E329="USD",F329,F329/Settings!$B$6))</f>
        <v/>
      </c>
      <c r="I329" s="20" t="str">
        <f aca="false">IF(A329="","",DATE(YEAR(A329),MONTH(A329),1))</f>
        <v/>
      </c>
    </row>
    <row r="330" customFormat="false" ht="15" hidden="false" customHeight="false" outlineLevel="0" collapsed="false">
      <c r="A330" s="15"/>
      <c r="B330" s="16"/>
      <c r="C330" s="16"/>
      <c r="D330" s="16"/>
      <c r="E330" s="16"/>
      <c r="F330" s="17"/>
      <c r="G330" s="18" t="str">
        <f aca="false">IF(OR(A330="",F330=""),"",IF(E330="USD",F330*Settings!$B$6,F330))</f>
        <v/>
      </c>
      <c r="H330" s="19" t="str">
        <f aca="false">IF(OR(A330="",F330=""),"",IF(E330="USD",F330,F330/Settings!$B$6))</f>
        <v/>
      </c>
      <c r="I330" s="20" t="str">
        <f aca="false">IF(A330="","",DATE(YEAR(A330),MONTH(A330),1))</f>
        <v/>
      </c>
    </row>
    <row r="331" customFormat="false" ht="15" hidden="false" customHeight="false" outlineLevel="0" collapsed="false">
      <c r="A331" s="15"/>
      <c r="B331" s="16"/>
      <c r="C331" s="16"/>
      <c r="D331" s="16"/>
      <c r="E331" s="16"/>
      <c r="F331" s="17"/>
      <c r="G331" s="18" t="str">
        <f aca="false">IF(OR(A331="",F331=""),"",IF(E331="USD",F331*Settings!$B$6,F331))</f>
        <v/>
      </c>
      <c r="H331" s="19" t="str">
        <f aca="false">IF(OR(A331="",F331=""),"",IF(E331="USD",F331,F331/Settings!$B$6))</f>
        <v/>
      </c>
      <c r="I331" s="20" t="str">
        <f aca="false">IF(A331="","",DATE(YEAR(A331),MONTH(A331),1))</f>
        <v/>
      </c>
    </row>
    <row r="332" customFormat="false" ht="15" hidden="false" customHeight="false" outlineLevel="0" collapsed="false">
      <c r="A332" s="15"/>
      <c r="B332" s="16"/>
      <c r="C332" s="16"/>
      <c r="D332" s="16"/>
      <c r="E332" s="16"/>
      <c r="F332" s="17"/>
      <c r="G332" s="18" t="str">
        <f aca="false">IF(OR(A332="",F332=""),"",IF(E332="USD",F332*Settings!$B$6,F332))</f>
        <v/>
      </c>
      <c r="H332" s="19" t="str">
        <f aca="false">IF(OR(A332="",F332=""),"",IF(E332="USD",F332,F332/Settings!$B$6))</f>
        <v/>
      </c>
      <c r="I332" s="20" t="str">
        <f aca="false">IF(A332="","",DATE(YEAR(A332),MONTH(A332),1))</f>
        <v/>
      </c>
    </row>
    <row r="333" customFormat="false" ht="15" hidden="false" customHeight="false" outlineLevel="0" collapsed="false">
      <c r="A333" s="15"/>
      <c r="B333" s="16"/>
      <c r="C333" s="16"/>
      <c r="D333" s="16"/>
      <c r="E333" s="16"/>
      <c r="F333" s="17"/>
      <c r="G333" s="18" t="str">
        <f aca="false">IF(OR(A333="",F333=""),"",IF(E333="USD",F333*Settings!$B$6,F333))</f>
        <v/>
      </c>
      <c r="H333" s="19" t="str">
        <f aca="false">IF(OR(A333="",F333=""),"",IF(E333="USD",F333,F333/Settings!$B$6))</f>
        <v/>
      </c>
      <c r="I333" s="20" t="str">
        <f aca="false">IF(A333="","",DATE(YEAR(A333),MONTH(A333),1))</f>
        <v/>
      </c>
    </row>
    <row r="334" customFormat="false" ht="15" hidden="false" customHeight="false" outlineLevel="0" collapsed="false">
      <c r="A334" s="15"/>
      <c r="B334" s="16"/>
      <c r="C334" s="16"/>
      <c r="D334" s="16"/>
      <c r="E334" s="16"/>
      <c r="F334" s="17"/>
      <c r="G334" s="18" t="str">
        <f aca="false">IF(OR(A334="",F334=""),"",IF(E334="USD",F334*Settings!$B$6,F334))</f>
        <v/>
      </c>
      <c r="H334" s="19" t="str">
        <f aca="false">IF(OR(A334="",F334=""),"",IF(E334="USD",F334,F334/Settings!$B$6))</f>
        <v/>
      </c>
      <c r="I334" s="20" t="str">
        <f aca="false">IF(A334="","",DATE(YEAR(A334),MONTH(A334),1))</f>
        <v/>
      </c>
    </row>
    <row r="335" customFormat="false" ht="15" hidden="false" customHeight="false" outlineLevel="0" collapsed="false">
      <c r="A335" s="15"/>
      <c r="B335" s="16"/>
      <c r="C335" s="16"/>
      <c r="D335" s="16"/>
      <c r="E335" s="16"/>
      <c r="F335" s="17"/>
      <c r="G335" s="18" t="str">
        <f aca="false">IF(OR(A335="",F335=""),"",IF(E335="USD",F335*Settings!$B$6,F335))</f>
        <v/>
      </c>
      <c r="H335" s="19" t="str">
        <f aca="false">IF(OR(A335="",F335=""),"",IF(E335="USD",F335,F335/Settings!$B$6))</f>
        <v/>
      </c>
      <c r="I335" s="20" t="str">
        <f aca="false">IF(A335="","",DATE(YEAR(A335),MONTH(A335),1))</f>
        <v/>
      </c>
    </row>
    <row r="336" customFormat="false" ht="15" hidden="false" customHeight="false" outlineLevel="0" collapsed="false">
      <c r="A336" s="15"/>
      <c r="B336" s="16"/>
      <c r="C336" s="16"/>
      <c r="D336" s="16"/>
      <c r="E336" s="16"/>
      <c r="F336" s="17"/>
      <c r="G336" s="18" t="str">
        <f aca="false">IF(OR(A336="",F336=""),"",IF(E336="USD",F336*Settings!$B$6,F336))</f>
        <v/>
      </c>
      <c r="H336" s="19" t="str">
        <f aca="false">IF(OR(A336="",F336=""),"",IF(E336="USD",F336,F336/Settings!$B$6))</f>
        <v/>
      </c>
      <c r="I336" s="20" t="str">
        <f aca="false">IF(A336="","",DATE(YEAR(A336),MONTH(A336),1))</f>
        <v/>
      </c>
    </row>
    <row r="337" customFormat="false" ht="15" hidden="false" customHeight="false" outlineLevel="0" collapsed="false">
      <c r="A337" s="15"/>
      <c r="B337" s="16"/>
      <c r="C337" s="16"/>
      <c r="D337" s="16"/>
      <c r="E337" s="16"/>
      <c r="F337" s="17"/>
      <c r="G337" s="18" t="str">
        <f aca="false">IF(OR(A337="",F337=""),"",IF(E337="USD",F337*Settings!$B$6,F337))</f>
        <v/>
      </c>
      <c r="H337" s="19" t="str">
        <f aca="false">IF(OR(A337="",F337=""),"",IF(E337="USD",F337,F337/Settings!$B$6))</f>
        <v/>
      </c>
      <c r="I337" s="20" t="str">
        <f aca="false">IF(A337="","",DATE(YEAR(A337),MONTH(A337),1))</f>
        <v/>
      </c>
    </row>
    <row r="338" customFormat="false" ht="15" hidden="false" customHeight="false" outlineLevel="0" collapsed="false">
      <c r="A338" s="15"/>
      <c r="B338" s="16"/>
      <c r="C338" s="16"/>
      <c r="D338" s="16"/>
      <c r="E338" s="16"/>
      <c r="F338" s="17"/>
      <c r="G338" s="18" t="str">
        <f aca="false">IF(OR(A338="",F338=""),"",IF(E338="USD",F338*Settings!$B$6,F338))</f>
        <v/>
      </c>
      <c r="H338" s="19" t="str">
        <f aca="false">IF(OR(A338="",F338=""),"",IF(E338="USD",F338,F338/Settings!$B$6))</f>
        <v/>
      </c>
      <c r="I338" s="20" t="str">
        <f aca="false">IF(A338="","",DATE(YEAR(A338),MONTH(A338),1))</f>
        <v/>
      </c>
    </row>
    <row r="339" customFormat="false" ht="15" hidden="false" customHeight="false" outlineLevel="0" collapsed="false">
      <c r="A339" s="15"/>
      <c r="B339" s="16"/>
      <c r="C339" s="16"/>
      <c r="D339" s="16"/>
      <c r="E339" s="16"/>
      <c r="F339" s="17"/>
      <c r="G339" s="18" t="str">
        <f aca="false">IF(OR(A339="",F339=""),"",IF(E339="USD",F339*Settings!$B$6,F339))</f>
        <v/>
      </c>
      <c r="H339" s="19" t="str">
        <f aca="false">IF(OR(A339="",F339=""),"",IF(E339="USD",F339,F339/Settings!$B$6))</f>
        <v/>
      </c>
      <c r="I339" s="20" t="str">
        <f aca="false">IF(A339="","",DATE(YEAR(A339),MONTH(A339),1))</f>
        <v/>
      </c>
    </row>
    <row r="340" customFormat="false" ht="15" hidden="false" customHeight="false" outlineLevel="0" collapsed="false">
      <c r="A340" s="15"/>
      <c r="B340" s="16"/>
      <c r="C340" s="16"/>
      <c r="D340" s="16"/>
      <c r="E340" s="16"/>
      <c r="F340" s="17"/>
      <c r="G340" s="18" t="str">
        <f aca="false">IF(OR(A340="",F340=""),"",IF(E340="USD",F340*Settings!$B$6,F340))</f>
        <v/>
      </c>
      <c r="H340" s="19" t="str">
        <f aca="false">IF(OR(A340="",F340=""),"",IF(E340="USD",F340,F340/Settings!$B$6))</f>
        <v/>
      </c>
      <c r="I340" s="20" t="str">
        <f aca="false">IF(A340="","",DATE(YEAR(A340),MONTH(A340),1))</f>
        <v/>
      </c>
    </row>
    <row r="341" customFormat="false" ht="15" hidden="false" customHeight="false" outlineLevel="0" collapsed="false">
      <c r="A341" s="15"/>
      <c r="B341" s="16"/>
      <c r="C341" s="16"/>
      <c r="D341" s="16"/>
      <c r="E341" s="16"/>
      <c r="F341" s="17"/>
      <c r="G341" s="18" t="str">
        <f aca="false">IF(OR(A341="",F341=""),"",IF(E341="USD",F341*Settings!$B$6,F341))</f>
        <v/>
      </c>
      <c r="H341" s="19" t="str">
        <f aca="false">IF(OR(A341="",F341=""),"",IF(E341="USD",F341,F341/Settings!$B$6))</f>
        <v/>
      </c>
      <c r="I341" s="20" t="str">
        <f aca="false">IF(A341="","",DATE(YEAR(A341),MONTH(A341),1))</f>
        <v/>
      </c>
    </row>
    <row r="342" customFormat="false" ht="15" hidden="false" customHeight="false" outlineLevel="0" collapsed="false">
      <c r="A342" s="15"/>
      <c r="B342" s="16"/>
      <c r="C342" s="16"/>
      <c r="D342" s="16"/>
      <c r="E342" s="16"/>
      <c r="F342" s="17"/>
      <c r="G342" s="18" t="str">
        <f aca="false">IF(OR(A342="",F342=""),"",IF(E342="USD",F342*Settings!$B$6,F342))</f>
        <v/>
      </c>
      <c r="H342" s="19" t="str">
        <f aca="false">IF(OR(A342="",F342=""),"",IF(E342="USD",F342,F342/Settings!$B$6))</f>
        <v/>
      </c>
      <c r="I342" s="20" t="str">
        <f aca="false">IF(A342="","",DATE(YEAR(A342),MONTH(A342),1))</f>
        <v/>
      </c>
    </row>
    <row r="343" customFormat="false" ht="15" hidden="false" customHeight="false" outlineLevel="0" collapsed="false">
      <c r="A343" s="15"/>
      <c r="B343" s="16"/>
      <c r="C343" s="16"/>
      <c r="D343" s="16"/>
      <c r="E343" s="16"/>
      <c r="F343" s="17"/>
      <c r="G343" s="18" t="str">
        <f aca="false">IF(OR(A343="",F343=""),"",IF(E343="USD",F343*Settings!$B$6,F343))</f>
        <v/>
      </c>
      <c r="H343" s="19" t="str">
        <f aca="false">IF(OR(A343="",F343=""),"",IF(E343="USD",F343,F343/Settings!$B$6))</f>
        <v/>
      </c>
      <c r="I343" s="20" t="str">
        <f aca="false">IF(A343="","",DATE(YEAR(A343),MONTH(A343),1))</f>
        <v/>
      </c>
    </row>
    <row r="344" customFormat="false" ht="15" hidden="false" customHeight="false" outlineLevel="0" collapsed="false">
      <c r="A344" s="15"/>
      <c r="B344" s="16"/>
      <c r="C344" s="16"/>
      <c r="D344" s="16"/>
      <c r="E344" s="16"/>
      <c r="F344" s="17"/>
      <c r="G344" s="18" t="str">
        <f aca="false">IF(OR(A344="",F344=""),"",IF(E344="USD",F344*Settings!$B$6,F344))</f>
        <v/>
      </c>
      <c r="H344" s="19" t="str">
        <f aca="false">IF(OR(A344="",F344=""),"",IF(E344="USD",F344,F344/Settings!$B$6))</f>
        <v/>
      </c>
      <c r="I344" s="20" t="str">
        <f aca="false">IF(A344="","",DATE(YEAR(A344),MONTH(A344),1))</f>
        <v/>
      </c>
    </row>
    <row r="345" customFormat="false" ht="15" hidden="false" customHeight="false" outlineLevel="0" collapsed="false">
      <c r="A345" s="15"/>
      <c r="B345" s="16"/>
      <c r="C345" s="16"/>
      <c r="D345" s="16"/>
      <c r="E345" s="16"/>
      <c r="F345" s="17"/>
      <c r="G345" s="18" t="str">
        <f aca="false">IF(OR(A345="",F345=""),"",IF(E345="USD",F345*Settings!$B$6,F345))</f>
        <v/>
      </c>
      <c r="H345" s="19" t="str">
        <f aca="false">IF(OR(A345="",F345=""),"",IF(E345="USD",F345,F345/Settings!$B$6))</f>
        <v/>
      </c>
      <c r="I345" s="20" t="str">
        <f aca="false">IF(A345="","",DATE(YEAR(A345),MONTH(A345),1))</f>
        <v/>
      </c>
    </row>
    <row r="346" customFormat="false" ht="15" hidden="false" customHeight="false" outlineLevel="0" collapsed="false">
      <c r="A346" s="15"/>
      <c r="B346" s="16"/>
      <c r="C346" s="16"/>
      <c r="D346" s="16"/>
      <c r="E346" s="16"/>
      <c r="F346" s="17"/>
      <c r="G346" s="18" t="str">
        <f aca="false">IF(OR(A346="",F346=""),"",IF(E346="USD",F346*Settings!$B$6,F346))</f>
        <v/>
      </c>
      <c r="H346" s="19" t="str">
        <f aca="false">IF(OR(A346="",F346=""),"",IF(E346="USD",F346,F346/Settings!$B$6))</f>
        <v/>
      </c>
      <c r="I346" s="20" t="str">
        <f aca="false">IF(A346="","",DATE(YEAR(A346),MONTH(A346),1))</f>
        <v/>
      </c>
    </row>
    <row r="347" customFormat="false" ht="15" hidden="false" customHeight="false" outlineLevel="0" collapsed="false">
      <c r="A347" s="15"/>
      <c r="B347" s="16"/>
      <c r="C347" s="16"/>
      <c r="D347" s="16"/>
      <c r="E347" s="16"/>
      <c r="F347" s="17"/>
      <c r="G347" s="18" t="str">
        <f aca="false">IF(OR(A347="",F347=""),"",IF(E347="USD",F347*Settings!$B$6,F347))</f>
        <v/>
      </c>
      <c r="H347" s="19" t="str">
        <f aca="false">IF(OR(A347="",F347=""),"",IF(E347="USD",F347,F347/Settings!$B$6))</f>
        <v/>
      </c>
      <c r="I347" s="20" t="str">
        <f aca="false">IF(A347="","",DATE(YEAR(A347),MONTH(A347),1))</f>
        <v/>
      </c>
    </row>
    <row r="348" customFormat="false" ht="15" hidden="false" customHeight="false" outlineLevel="0" collapsed="false">
      <c r="A348" s="15"/>
      <c r="B348" s="16"/>
      <c r="C348" s="16"/>
      <c r="D348" s="16"/>
      <c r="E348" s="16"/>
      <c r="F348" s="17"/>
      <c r="G348" s="18" t="str">
        <f aca="false">IF(OR(A348="",F348=""),"",IF(E348="USD",F348*Settings!$B$6,F348))</f>
        <v/>
      </c>
      <c r="H348" s="19" t="str">
        <f aca="false">IF(OR(A348="",F348=""),"",IF(E348="USD",F348,F348/Settings!$B$6))</f>
        <v/>
      </c>
      <c r="I348" s="20" t="str">
        <f aca="false">IF(A348="","",DATE(YEAR(A348),MONTH(A348),1))</f>
        <v/>
      </c>
    </row>
    <row r="349" customFormat="false" ht="15" hidden="false" customHeight="false" outlineLevel="0" collapsed="false">
      <c r="A349" s="15"/>
      <c r="B349" s="16"/>
      <c r="C349" s="16"/>
      <c r="D349" s="16"/>
      <c r="E349" s="16"/>
      <c r="F349" s="17"/>
      <c r="G349" s="18" t="str">
        <f aca="false">IF(OR(A349="",F349=""),"",IF(E349="USD",F349*Settings!$B$6,F349))</f>
        <v/>
      </c>
      <c r="H349" s="19" t="str">
        <f aca="false">IF(OR(A349="",F349=""),"",IF(E349="USD",F349,F349/Settings!$B$6))</f>
        <v/>
      </c>
      <c r="I349" s="20" t="str">
        <f aca="false">IF(A349="","",DATE(YEAR(A349),MONTH(A349),1))</f>
        <v/>
      </c>
    </row>
    <row r="350" customFormat="false" ht="15" hidden="false" customHeight="false" outlineLevel="0" collapsed="false">
      <c r="A350" s="15"/>
      <c r="B350" s="16"/>
      <c r="C350" s="16"/>
      <c r="D350" s="16"/>
      <c r="E350" s="16"/>
      <c r="F350" s="17"/>
      <c r="G350" s="18" t="str">
        <f aca="false">IF(OR(A350="",F350=""),"",IF(E350="USD",F350*Settings!$B$6,F350))</f>
        <v/>
      </c>
      <c r="H350" s="19" t="str">
        <f aca="false">IF(OR(A350="",F350=""),"",IF(E350="USD",F350,F350/Settings!$B$6))</f>
        <v/>
      </c>
      <c r="I350" s="20" t="str">
        <f aca="false">IF(A350="","",DATE(YEAR(A350),MONTH(A350),1))</f>
        <v/>
      </c>
    </row>
    <row r="351" customFormat="false" ht="15" hidden="false" customHeight="false" outlineLevel="0" collapsed="false">
      <c r="A351" s="15"/>
      <c r="B351" s="16"/>
      <c r="C351" s="16"/>
      <c r="D351" s="16"/>
      <c r="E351" s="16"/>
      <c r="F351" s="17"/>
      <c r="G351" s="18" t="str">
        <f aca="false">IF(OR(A351="",F351=""),"",IF(E351="USD",F351*Settings!$B$6,F351))</f>
        <v/>
      </c>
      <c r="H351" s="19" t="str">
        <f aca="false">IF(OR(A351="",F351=""),"",IF(E351="USD",F351,F351/Settings!$B$6))</f>
        <v/>
      </c>
      <c r="I351" s="20" t="str">
        <f aca="false">IF(A351="","",DATE(YEAR(A351),MONTH(A351),1))</f>
        <v/>
      </c>
    </row>
    <row r="352" customFormat="false" ht="15" hidden="false" customHeight="false" outlineLevel="0" collapsed="false">
      <c r="A352" s="15"/>
      <c r="B352" s="16"/>
      <c r="C352" s="16"/>
      <c r="D352" s="16"/>
      <c r="E352" s="16"/>
      <c r="F352" s="17"/>
      <c r="G352" s="18" t="str">
        <f aca="false">IF(OR(A352="",F352=""),"",IF(E352="USD",F352*Settings!$B$6,F352))</f>
        <v/>
      </c>
      <c r="H352" s="19" t="str">
        <f aca="false">IF(OR(A352="",F352=""),"",IF(E352="USD",F352,F352/Settings!$B$6))</f>
        <v/>
      </c>
      <c r="I352" s="20" t="str">
        <f aca="false">IF(A352="","",DATE(YEAR(A352),MONTH(A352),1))</f>
        <v/>
      </c>
    </row>
    <row r="353" customFormat="false" ht="15" hidden="false" customHeight="false" outlineLevel="0" collapsed="false">
      <c r="A353" s="15"/>
      <c r="B353" s="16"/>
      <c r="C353" s="16"/>
      <c r="D353" s="16"/>
      <c r="E353" s="16"/>
      <c r="F353" s="17"/>
      <c r="G353" s="18" t="str">
        <f aca="false">IF(OR(A353="",F353=""),"",IF(E353="USD",F353*Settings!$B$6,F353))</f>
        <v/>
      </c>
      <c r="H353" s="19" t="str">
        <f aca="false">IF(OR(A353="",F353=""),"",IF(E353="USD",F353,F353/Settings!$B$6))</f>
        <v/>
      </c>
      <c r="I353" s="20" t="str">
        <f aca="false">IF(A353="","",DATE(YEAR(A353),MONTH(A353),1))</f>
        <v/>
      </c>
    </row>
    <row r="354" customFormat="false" ht="15" hidden="false" customHeight="false" outlineLevel="0" collapsed="false">
      <c r="A354" s="15"/>
      <c r="B354" s="16"/>
      <c r="C354" s="16"/>
      <c r="D354" s="16"/>
      <c r="E354" s="16"/>
      <c r="F354" s="17"/>
      <c r="G354" s="18" t="str">
        <f aca="false">IF(OR(A354="",F354=""),"",IF(E354="USD",F354*Settings!$B$6,F354))</f>
        <v/>
      </c>
      <c r="H354" s="19" t="str">
        <f aca="false">IF(OR(A354="",F354=""),"",IF(E354="USD",F354,F354/Settings!$B$6))</f>
        <v/>
      </c>
      <c r="I354" s="20" t="str">
        <f aca="false">IF(A354="","",DATE(YEAR(A354),MONTH(A354),1))</f>
        <v/>
      </c>
    </row>
    <row r="355" customFormat="false" ht="15" hidden="false" customHeight="false" outlineLevel="0" collapsed="false">
      <c r="A355" s="15"/>
      <c r="B355" s="16"/>
      <c r="C355" s="16"/>
      <c r="D355" s="16"/>
      <c r="E355" s="16"/>
      <c r="F355" s="17"/>
      <c r="G355" s="18" t="str">
        <f aca="false">IF(OR(A355="",F355=""),"",IF(E355="USD",F355*Settings!$B$6,F355))</f>
        <v/>
      </c>
      <c r="H355" s="19" t="str">
        <f aca="false">IF(OR(A355="",F355=""),"",IF(E355="USD",F355,F355/Settings!$B$6))</f>
        <v/>
      </c>
      <c r="I355" s="20" t="str">
        <f aca="false">IF(A355="","",DATE(YEAR(A355),MONTH(A355),1))</f>
        <v/>
      </c>
    </row>
    <row r="356" customFormat="false" ht="15" hidden="false" customHeight="false" outlineLevel="0" collapsed="false">
      <c r="A356" s="15"/>
      <c r="B356" s="16"/>
      <c r="C356" s="16"/>
      <c r="D356" s="16"/>
      <c r="E356" s="16"/>
      <c r="F356" s="17"/>
      <c r="G356" s="18" t="str">
        <f aca="false">IF(OR(A356="",F356=""),"",IF(E356="USD",F356*Settings!$B$6,F356))</f>
        <v/>
      </c>
      <c r="H356" s="19" t="str">
        <f aca="false">IF(OR(A356="",F356=""),"",IF(E356="USD",F356,F356/Settings!$B$6))</f>
        <v/>
      </c>
      <c r="I356" s="20" t="str">
        <f aca="false">IF(A356="","",DATE(YEAR(A356),MONTH(A356),1))</f>
        <v/>
      </c>
    </row>
    <row r="357" customFormat="false" ht="15" hidden="false" customHeight="false" outlineLevel="0" collapsed="false">
      <c r="A357" s="15"/>
      <c r="B357" s="16"/>
      <c r="C357" s="16"/>
      <c r="D357" s="16"/>
      <c r="E357" s="16"/>
      <c r="F357" s="17"/>
      <c r="G357" s="18" t="str">
        <f aca="false">IF(OR(A357="",F357=""),"",IF(E357="USD",F357*Settings!$B$6,F357))</f>
        <v/>
      </c>
      <c r="H357" s="19" t="str">
        <f aca="false">IF(OR(A357="",F357=""),"",IF(E357="USD",F357,F357/Settings!$B$6))</f>
        <v/>
      </c>
      <c r="I357" s="20" t="str">
        <f aca="false">IF(A357="","",DATE(YEAR(A357),MONTH(A357),1))</f>
        <v/>
      </c>
    </row>
    <row r="358" customFormat="false" ht="15" hidden="false" customHeight="false" outlineLevel="0" collapsed="false">
      <c r="A358" s="15"/>
      <c r="B358" s="16"/>
      <c r="C358" s="16"/>
      <c r="D358" s="16"/>
      <c r="E358" s="16"/>
      <c r="F358" s="17"/>
      <c r="G358" s="18" t="str">
        <f aca="false">IF(OR(A358="",F358=""),"",IF(E358="USD",F358*Settings!$B$6,F358))</f>
        <v/>
      </c>
      <c r="H358" s="19" t="str">
        <f aca="false">IF(OR(A358="",F358=""),"",IF(E358="USD",F358,F358/Settings!$B$6))</f>
        <v/>
      </c>
      <c r="I358" s="20" t="str">
        <f aca="false">IF(A358="","",DATE(YEAR(A358),MONTH(A358),1))</f>
        <v/>
      </c>
    </row>
    <row r="359" customFormat="false" ht="15" hidden="false" customHeight="false" outlineLevel="0" collapsed="false">
      <c r="A359" s="15"/>
      <c r="B359" s="16"/>
      <c r="C359" s="16"/>
      <c r="D359" s="16"/>
      <c r="E359" s="16"/>
      <c r="F359" s="17"/>
      <c r="G359" s="18" t="str">
        <f aca="false">IF(OR(A359="",F359=""),"",IF(E359="USD",F359*Settings!$B$6,F359))</f>
        <v/>
      </c>
      <c r="H359" s="19" t="str">
        <f aca="false">IF(OR(A359="",F359=""),"",IF(E359="USD",F359,F359/Settings!$B$6))</f>
        <v/>
      </c>
      <c r="I359" s="20" t="str">
        <f aca="false">IF(A359="","",DATE(YEAR(A359),MONTH(A359),1))</f>
        <v/>
      </c>
    </row>
    <row r="360" customFormat="false" ht="15" hidden="false" customHeight="false" outlineLevel="0" collapsed="false">
      <c r="A360" s="15"/>
      <c r="B360" s="16"/>
      <c r="C360" s="16"/>
      <c r="D360" s="16"/>
      <c r="E360" s="16"/>
      <c r="F360" s="17"/>
      <c r="G360" s="18" t="str">
        <f aca="false">IF(OR(A360="",F360=""),"",IF(E360="USD",F360*Settings!$B$6,F360))</f>
        <v/>
      </c>
      <c r="H360" s="19" t="str">
        <f aca="false">IF(OR(A360="",F360=""),"",IF(E360="USD",F360,F360/Settings!$B$6))</f>
        <v/>
      </c>
      <c r="I360" s="20" t="str">
        <f aca="false">IF(A360="","",DATE(YEAR(A360),MONTH(A360),1))</f>
        <v/>
      </c>
    </row>
    <row r="361" customFormat="false" ht="15" hidden="false" customHeight="false" outlineLevel="0" collapsed="false">
      <c r="A361" s="15"/>
      <c r="B361" s="16"/>
      <c r="C361" s="16"/>
      <c r="D361" s="16"/>
      <c r="E361" s="16"/>
      <c r="F361" s="17"/>
      <c r="G361" s="18" t="str">
        <f aca="false">IF(OR(A361="",F361=""),"",IF(E361="USD",F361*Settings!$B$6,F361))</f>
        <v/>
      </c>
      <c r="H361" s="19" t="str">
        <f aca="false">IF(OR(A361="",F361=""),"",IF(E361="USD",F361,F361/Settings!$B$6))</f>
        <v/>
      </c>
      <c r="I361" s="20" t="str">
        <f aca="false">IF(A361="","",DATE(YEAR(A361),MONTH(A361),1))</f>
        <v/>
      </c>
    </row>
    <row r="362" customFormat="false" ht="15" hidden="false" customHeight="false" outlineLevel="0" collapsed="false">
      <c r="A362" s="15"/>
      <c r="B362" s="16"/>
      <c r="C362" s="16"/>
      <c r="D362" s="16"/>
      <c r="E362" s="16"/>
      <c r="F362" s="17"/>
      <c r="G362" s="18" t="str">
        <f aca="false">IF(OR(A362="",F362=""),"",IF(E362="USD",F362*Settings!$B$6,F362))</f>
        <v/>
      </c>
      <c r="H362" s="19" t="str">
        <f aca="false">IF(OR(A362="",F362=""),"",IF(E362="USD",F362,F362/Settings!$B$6))</f>
        <v/>
      </c>
      <c r="I362" s="20" t="str">
        <f aca="false">IF(A362="","",DATE(YEAR(A362),MONTH(A362),1))</f>
        <v/>
      </c>
    </row>
    <row r="363" customFormat="false" ht="15" hidden="false" customHeight="false" outlineLevel="0" collapsed="false">
      <c r="A363" s="15"/>
      <c r="B363" s="16"/>
      <c r="C363" s="16"/>
      <c r="D363" s="16"/>
      <c r="E363" s="16"/>
      <c r="F363" s="17"/>
      <c r="G363" s="18" t="str">
        <f aca="false">IF(OR(A363="",F363=""),"",IF(E363="USD",F363*Settings!$B$6,F363))</f>
        <v/>
      </c>
      <c r="H363" s="19" t="str">
        <f aca="false">IF(OR(A363="",F363=""),"",IF(E363="USD",F363,F363/Settings!$B$6))</f>
        <v/>
      </c>
      <c r="I363" s="20" t="str">
        <f aca="false">IF(A363="","",DATE(YEAR(A363),MONTH(A363),1))</f>
        <v/>
      </c>
    </row>
    <row r="364" customFormat="false" ht="15" hidden="false" customHeight="false" outlineLevel="0" collapsed="false">
      <c r="A364" s="15"/>
      <c r="B364" s="16"/>
      <c r="C364" s="16"/>
      <c r="D364" s="16"/>
      <c r="E364" s="16"/>
      <c r="F364" s="17"/>
      <c r="G364" s="18" t="str">
        <f aca="false">IF(OR(A364="",F364=""),"",IF(E364="USD",F364*Settings!$B$6,F364))</f>
        <v/>
      </c>
      <c r="H364" s="19" t="str">
        <f aca="false">IF(OR(A364="",F364=""),"",IF(E364="USD",F364,F364/Settings!$B$6))</f>
        <v/>
      </c>
      <c r="I364" s="20" t="str">
        <f aca="false">IF(A364="","",DATE(YEAR(A364),MONTH(A364),1))</f>
        <v/>
      </c>
    </row>
    <row r="365" customFormat="false" ht="15" hidden="false" customHeight="false" outlineLevel="0" collapsed="false">
      <c r="A365" s="15"/>
      <c r="B365" s="16"/>
      <c r="C365" s="16"/>
      <c r="D365" s="16"/>
      <c r="E365" s="16"/>
      <c r="F365" s="17"/>
      <c r="G365" s="18" t="str">
        <f aca="false">IF(OR(A365="",F365=""),"",IF(E365="USD",F365*Settings!$B$6,F365))</f>
        <v/>
      </c>
      <c r="H365" s="19" t="str">
        <f aca="false">IF(OR(A365="",F365=""),"",IF(E365="USD",F365,F365/Settings!$B$6))</f>
        <v/>
      </c>
      <c r="I365" s="20" t="str">
        <f aca="false">IF(A365="","",DATE(YEAR(A365),MONTH(A365),1))</f>
        <v/>
      </c>
    </row>
    <row r="366" customFormat="false" ht="15" hidden="false" customHeight="false" outlineLevel="0" collapsed="false">
      <c r="A366" s="15"/>
      <c r="B366" s="16"/>
      <c r="C366" s="16"/>
      <c r="D366" s="16"/>
      <c r="E366" s="16"/>
      <c r="F366" s="17"/>
      <c r="G366" s="18" t="str">
        <f aca="false">IF(OR(A366="",F366=""),"",IF(E366="USD",F366*Settings!$B$6,F366))</f>
        <v/>
      </c>
      <c r="H366" s="19" t="str">
        <f aca="false">IF(OR(A366="",F366=""),"",IF(E366="USD",F366,F366/Settings!$B$6))</f>
        <v/>
      </c>
      <c r="I366" s="20" t="str">
        <f aca="false">IF(A366="","",DATE(YEAR(A366),MONTH(A366),1))</f>
        <v/>
      </c>
    </row>
    <row r="367" customFormat="false" ht="15" hidden="false" customHeight="false" outlineLevel="0" collapsed="false">
      <c r="A367" s="15"/>
      <c r="B367" s="16"/>
      <c r="C367" s="16"/>
      <c r="D367" s="16"/>
      <c r="E367" s="16"/>
      <c r="F367" s="17"/>
      <c r="G367" s="18" t="str">
        <f aca="false">IF(OR(A367="",F367=""),"",IF(E367="USD",F367*Settings!$B$6,F367))</f>
        <v/>
      </c>
      <c r="H367" s="19" t="str">
        <f aca="false">IF(OR(A367="",F367=""),"",IF(E367="USD",F367,F367/Settings!$B$6))</f>
        <v/>
      </c>
      <c r="I367" s="20" t="str">
        <f aca="false">IF(A367="","",DATE(YEAR(A367),MONTH(A367),1))</f>
        <v/>
      </c>
    </row>
    <row r="368" customFormat="false" ht="15" hidden="false" customHeight="false" outlineLevel="0" collapsed="false">
      <c r="A368" s="15"/>
      <c r="B368" s="16"/>
      <c r="C368" s="16"/>
      <c r="D368" s="16"/>
      <c r="E368" s="16"/>
      <c r="F368" s="17"/>
      <c r="G368" s="18" t="str">
        <f aca="false">IF(OR(A368="",F368=""),"",IF(E368="USD",F368*Settings!$B$6,F368))</f>
        <v/>
      </c>
      <c r="H368" s="19" t="str">
        <f aca="false">IF(OR(A368="",F368=""),"",IF(E368="USD",F368,F368/Settings!$B$6))</f>
        <v/>
      </c>
      <c r="I368" s="20" t="str">
        <f aca="false">IF(A368="","",DATE(YEAR(A368),MONTH(A368),1))</f>
        <v/>
      </c>
    </row>
    <row r="369" customFormat="false" ht="15" hidden="false" customHeight="false" outlineLevel="0" collapsed="false">
      <c r="A369" s="15"/>
      <c r="B369" s="16"/>
      <c r="C369" s="16"/>
      <c r="D369" s="16"/>
      <c r="E369" s="16"/>
      <c r="F369" s="17"/>
      <c r="G369" s="18" t="str">
        <f aca="false">IF(OR(A369="",F369=""),"",IF(E369="USD",F369*Settings!$B$6,F369))</f>
        <v/>
      </c>
      <c r="H369" s="19" t="str">
        <f aca="false">IF(OR(A369="",F369=""),"",IF(E369="USD",F369,F369/Settings!$B$6))</f>
        <v/>
      </c>
      <c r="I369" s="20" t="str">
        <f aca="false">IF(A369="","",DATE(YEAR(A369),MONTH(A369),1))</f>
        <v/>
      </c>
    </row>
    <row r="370" customFormat="false" ht="15" hidden="false" customHeight="false" outlineLevel="0" collapsed="false">
      <c r="A370" s="15"/>
      <c r="B370" s="16"/>
      <c r="C370" s="16"/>
      <c r="D370" s="16"/>
      <c r="E370" s="16"/>
      <c r="F370" s="17"/>
      <c r="G370" s="18" t="str">
        <f aca="false">IF(OR(A370="",F370=""),"",IF(E370="USD",F370*Settings!$B$6,F370))</f>
        <v/>
      </c>
      <c r="H370" s="19" t="str">
        <f aca="false">IF(OR(A370="",F370=""),"",IF(E370="USD",F370,F370/Settings!$B$6))</f>
        <v/>
      </c>
      <c r="I370" s="20" t="str">
        <f aca="false">IF(A370="","",DATE(YEAR(A370),MONTH(A370),1))</f>
        <v/>
      </c>
    </row>
    <row r="371" customFormat="false" ht="15" hidden="false" customHeight="false" outlineLevel="0" collapsed="false">
      <c r="A371" s="15"/>
      <c r="B371" s="16"/>
      <c r="C371" s="16"/>
      <c r="D371" s="16"/>
      <c r="E371" s="16"/>
      <c r="F371" s="17"/>
      <c r="G371" s="18" t="str">
        <f aca="false">IF(OR(A371="",F371=""),"",IF(E371="USD",F371*Settings!$B$6,F371))</f>
        <v/>
      </c>
      <c r="H371" s="19" t="str">
        <f aca="false">IF(OR(A371="",F371=""),"",IF(E371="USD",F371,F371/Settings!$B$6))</f>
        <v/>
      </c>
      <c r="I371" s="20" t="str">
        <f aca="false">IF(A371="","",DATE(YEAR(A371),MONTH(A371),1))</f>
        <v/>
      </c>
    </row>
    <row r="372" customFormat="false" ht="15" hidden="false" customHeight="false" outlineLevel="0" collapsed="false">
      <c r="A372" s="15"/>
      <c r="B372" s="16"/>
      <c r="C372" s="16"/>
      <c r="D372" s="16"/>
      <c r="E372" s="16"/>
      <c r="F372" s="17"/>
      <c r="G372" s="18" t="str">
        <f aca="false">IF(OR(A372="",F372=""),"",IF(E372="USD",F372*Settings!$B$6,F372))</f>
        <v/>
      </c>
      <c r="H372" s="19" t="str">
        <f aca="false">IF(OR(A372="",F372=""),"",IF(E372="USD",F372,F372/Settings!$B$6))</f>
        <v/>
      </c>
      <c r="I372" s="20" t="str">
        <f aca="false">IF(A372="","",DATE(YEAR(A372),MONTH(A372),1))</f>
        <v/>
      </c>
    </row>
    <row r="373" customFormat="false" ht="15" hidden="false" customHeight="false" outlineLevel="0" collapsed="false">
      <c r="A373" s="15"/>
      <c r="B373" s="16"/>
      <c r="C373" s="16"/>
      <c r="D373" s="16"/>
      <c r="E373" s="16"/>
      <c r="F373" s="17"/>
      <c r="G373" s="18" t="str">
        <f aca="false">IF(OR(A373="",F373=""),"",IF(E373="USD",F373*Settings!$B$6,F373))</f>
        <v/>
      </c>
      <c r="H373" s="19" t="str">
        <f aca="false">IF(OR(A373="",F373=""),"",IF(E373="USD",F373,F373/Settings!$B$6))</f>
        <v/>
      </c>
      <c r="I373" s="20" t="str">
        <f aca="false">IF(A373="","",DATE(YEAR(A373),MONTH(A373),1))</f>
        <v/>
      </c>
    </row>
    <row r="374" customFormat="false" ht="15" hidden="false" customHeight="false" outlineLevel="0" collapsed="false">
      <c r="A374" s="15"/>
      <c r="B374" s="16"/>
      <c r="C374" s="16"/>
      <c r="D374" s="16"/>
      <c r="E374" s="16"/>
      <c r="F374" s="17"/>
      <c r="G374" s="18" t="str">
        <f aca="false">IF(OR(A374="",F374=""),"",IF(E374="USD",F374*Settings!$B$6,F374))</f>
        <v/>
      </c>
      <c r="H374" s="19" t="str">
        <f aca="false">IF(OR(A374="",F374=""),"",IF(E374="USD",F374,F374/Settings!$B$6))</f>
        <v/>
      </c>
      <c r="I374" s="20" t="str">
        <f aca="false">IF(A374="","",DATE(YEAR(A374),MONTH(A374),1))</f>
        <v/>
      </c>
    </row>
    <row r="375" customFormat="false" ht="15" hidden="false" customHeight="false" outlineLevel="0" collapsed="false">
      <c r="A375" s="15"/>
      <c r="B375" s="16"/>
      <c r="C375" s="16"/>
      <c r="D375" s="16"/>
      <c r="E375" s="16"/>
      <c r="F375" s="17"/>
      <c r="G375" s="18" t="str">
        <f aca="false">IF(OR(A375="",F375=""),"",IF(E375="USD",F375*Settings!$B$6,F375))</f>
        <v/>
      </c>
      <c r="H375" s="19" t="str">
        <f aca="false">IF(OR(A375="",F375=""),"",IF(E375="USD",F375,F375/Settings!$B$6))</f>
        <v/>
      </c>
      <c r="I375" s="20" t="str">
        <f aca="false">IF(A375="","",DATE(YEAR(A375),MONTH(A375),1))</f>
        <v/>
      </c>
    </row>
    <row r="376" customFormat="false" ht="15" hidden="false" customHeight="false" outlineLevel="0" collapsed="false">
      <c r="A376" s="15"/>
      <c r="B376" s="16"/>
      <c r="C376" s="16"/>
      <c r="D376" s="16"/>
      <c r="E376" s="16"/>
      <c r="F376" s="17"/>
      <c r="G376" s="18" t="str">
        <f aca="false">IF(OR(A376="",F376=""),"",IF(E376="USD",F376*Settings!$B$6,F376))</f>
        <v/>
      </c>
      <c r="H376" s="19" t="str">
        <f aca="false">IF(OR(A376="",F376=""),"",IF(E376="USD",F376,F376/Settings!$B$6))</f>
        <v/>
      </c>
      <c r="I376" s="20" t="str">
        <f aca="false">IF(A376="","",DATE(YEAR(A376),MONTH(A376),1))</f>
        <v/>
      </c>
    </row>
    <row r="377" customFormat="false" ht="15" hidden="false" customHeight="false" outlineLevel="0" collapsed="false">
      <c r="A377" s="15"/>
      <c r="B377" s="16"/>
      <c r="C377" s="16"/>
      <c r="D377" s="16"/>
      <c r="E377" s="16"/>
      <c r="F377" s="17"/>
      <c r="G377" s="18" t="str">
        <f aca="false">IF(OR(A377="",F377=""),"",IF(E377="USD",F377*Settings!$B$6,F377))</f>
        <v/>
      </c>
      <c r="H377" s="19" t="str">
        <f aca="false">IF(OR(A377="",F377=""),"",IF(E377="USD",F377,F377/Settings!$B$6))</f>
        <v/>
      </c>
      <c r="I377" s="20" t="str">
        <f aca="false">IF(A377="","",DATE(YEAR(A377),MONTH(A377),1))</f>
        <v/>
      </c>
    </row>
    <row r="378" customFormat="false" ht="15" hidden="false" customHeight="false" outlineLevel="0" collapsed="false">
      <c r="A378" s="15"/>
      <c r="B378" s="16"/>
      <c r="C378" s="16"/>
      <c r="D378" s="16"/>
      <c r="E378" s="16"/>
      <c r="F378" s="17"/>
      <c r="G378" s="18" t="str">
        <f aca="false">IF(OR(A378="",F378=""),"",IF(E378="USD",F378*Settings!$B$6,F378))</f>
        <v/>
      </c>
      <c r="H378" s="19" t="str">
        <f aca="false">IF(OR(A378="",F378=""),"",IF(E378="USD",F378,F378/Settings!$B$6))</f>
        <v/>
      </c>
      <c r="I378" s="20" t="str">
        <f aca="false">IF(A378="","",DATE(YEAR(A378),MONTH(A378),1))</f>
        <v/>
      </c>
    </row>
    <row r="379" customFormat="false" ht="15" hidden="false" customHeight="false" outlineLevel="0" collapsed="false">
      <c r="A379" s="15"/>
      <c r="B379" s="16"/>
      <c r="C379" s="16"/>
      <c r="D379" s="16"/>
      <c r="E379" s="16"/>
      <c r="F379" s="17"/>
      <c r="G379" s="18" t="str">
        <f aca="false">IF(OR(A379="",F379=""),"",IF(E379="USD",F379*Settings!$B$6,F379))</f>
        <v/>
      </c>
      <c r="H379" s="19" t="str">
        <f aca="false">IF(OR(A379="",F379=""),"",IF(E379="USD",F379,F379/Settings!$B$6))</f>
        <v/>
      </c>
      <c r="I379" s="20" t="str">
        <f aca="false">IF(A379="","",DATE(YEAR(A379),MONTH(A379),1))</f>
        <v/>
      </c>
    </row>
    <row r="380" customFormat="false" ht="15" hidden="false" customHeight="false" outlineLevel="0" collapsed="false">
      <c r="A380" s="15"/>
      <c r="B380" s="16"/>
      <c r="C380" s="16"/>
      <c r="D380" s="16"/>
      <c r="E380" s="16"/>
      <c r="F380" s="17"/>
      <c r="G380" s="18" t="str">
        <f aca="false">IF(OR(A380="",F380=""),"",IF(E380="USD",F380*Settings!$B$6,F380))</f>
        <v/>
      </c>
      <c r="H380" s="19" t="str">
        <f aca="false">IF(OR(A380="",F380=""),"",IF(E380="USD",F380,F380/Settings!$B$6))</f>
        <v/>
      </c>
      <c r="I380" s="20" t="str">
        <f aca="false">IF(A380="","",DATE(YEAR(A380),MONTH(A380),1))</f>
        <v/>
      </c>
    </row>
    <row r="381" customFormat="false" ht="15" hidden="false" customHeight="false" outlineLevel="0" collapsed="false">
      <c r="A381" s="15"/>
      <c r="B381" s="16"/>
      <c r="C381" s="16"/>
      <c r="D381" s="16"/>
      <c r="E381" s="16"/>
      <c r="F381" s="17"/>
      <c r="G381" s="18" t="str">
        <f aca="false">IF(OR(A381="",F381=""),"",IF(E381="USD",F381*Settings!$B$6,F381))</f>
        <v/>
      </c>
      <c r="H381" s="19" t="str">
        <f aca="false">IF(OR(A381="",F381=""),"",IF(E381="USD",F381,F381/Settings!$B$6))</f>
        <v/>
      </c>
      <c r="I381" s="20" t="str">
        <f aca="false">IF(A381="","",DATE(YEAR(A381),MONTH(A381),1))</f>
        <v/>
      </c>
    </row>
    <row r="382" customFormat="false" ht="15" hidden="false" customHeight="false" outlineLevel="0" collapsed="false">
      <c r="A382" s="15"/>
      <c r="B382" s="16"/>
      <c r="C382" s="16"/>
      <c r="D382" s="16"/>
      <c r="E382" s="16"/>
      <c r="F382" s="17"/>
      <c r="G382" s="18" t="str">
        <f aca="false">IF(OR(A382="",F382=""),"",IF(E382="USD",F382*Settings!$B$6,F382))</f>
        <v/>
      </c>
      <c r="H382" s="19" t="str">
        <f aca="false">IF(OR(A382="",F382=""),"",IF(E382="USD",F382,F382/Settings!$B$6))</f>
        <v/>
      </c>
      <c r="I382" s="20" t="str">
        <f aca="false">IF(A382="","",DATE(YEAR(A382),MONTH(A382),1))</f>
        <v/>
      </c>
    </row>
    <row r="383" customFormat="false" ht="15" hidden="false" customHeight="false" outlineLevel="0" collapsed="false">
      <c r="A383" s="15"/>
      <c r="B383" s="16"/>
      <c r="C383" s="16"/>
      <c r="D383" s="16"/>
      <c r="E383" s="16"/>
      <c r="F383" s="17"/>
      <c r="G383" s="18" t="str">
        <f aca="false">IF(OR(A383="",F383=""),"",IF(E383="USD",F383*Settings!$B$6,F383))</f>
        <v/>
      </c>
      <c r="H383" s="19" t="str">
        <f aca="false">IF(OR(A383="",F383=""),"",IF(E383="USD",F383,F383/Settings!$B$6))</f>
        <v/>
      </c>
      <c r="I383" s="20" t="str">
        <f aca="false">IF(A383="","",DATE(YEAR(A383),MONTH(A383),1))</f>
        <v/>
      </c>
    </row>
    <row r="384" customFormat="false" ht="15" hidden="false" customHeight="false" outlineLevel="0" collapsed="false">
      <c r="A384" s="15"/>
      <c r="B384" s="16"/>
      <c r="C384" s="16"/>
      <c r="D384" s="16"/>
      <c r="E384" s="16"/>
      <c r="F384" s="17"/>
      <c r="G384" s="18" t="str">
        <f aca="false">IF(OR(A384="",F384=""),"",IF(E384="USD",F384*Settings!$B$6,F384))</f>
        <v/>
      </c>
      <c r="H384" s="19" t="str">
        <f aca="false">IF(OR(A384="",F384=""),"",IF(E384="USD",F384,F384/Settings!$B$6))</f>
        <v/>
      </c>
      <c r="I384" s="20" t="str">
        <f aca="false">IF(A384="","",DATE(YEAR(A384),MONTH(A384),1))</f>
        <v/>
      </c>
    </row>
    <row r="385" customFormat="false" ht="15" hidden="false" customHeight="false" outlineLevel="0" collapsed="false">
      <c r="A385" s="15"/>
      <c r="B385" s="16"/>
      <c r="C385" s="16"/>
      <c r="D385" s="16"/>
      <c r="E385" s="16"/>
      <c r="F385" s="17"/>
      <c r="G385" s="18" t="str">
        <f aca="false">IF(OR(A385="",F385=""),"",IF(E385="USD",F385*Settings!$B$6,F385))</f>
        <v/>
      </c>
      <c r="H385" s="19" t="str">
        <f aca="false">IF(OR(A385="",F385=""),"",IF(E385="USD",F385,F385/Settings!$B$6))</f>
        <v/>
      </c>
      <c r="I385" s="20" t="str">
        <f aca="false">IF(A385="","",DATE(YEAR(A385),MONTH(A385),1))</f>
        <v/>
      </c>
    </row>
    <row r="386" customFormat="false" ht="15" hidden="false" customHeight="false" outlineLevel="0" collapsed="false">
      <c r="A386" s="15"/>
      <c r="B386" s="16"/>
      <c r="C386" s="16"/>
      <c r="D386" s="16"/>
      <c r="E386" s="16"/>
      <c r="F386" s="17"/>
      <c r="G386" s="18" t="str">
        <f aca="false">IF(OR(A386="",F386=""),"",IF(E386="USD",F386*Settings!$B$6,F386))</f>
        <v/>
      </c>
      <c r="H386" s="19" t="str">
        <f aca="false">IF(OR(A386="",F386=""),"",IF(E386="USD",F386,F386/Settings!$B$6))</f>
        <v/>
      </c>
      <c r="I386" s="20" t="str">
        <f aca="false">IF(A386="","",DATE(YEAR(A386),MONTH(A386),1))</f>
        <v/>
      </c>
    </row>
    <row r="387" customFormat="false" ht="15" hidden="false" customHeight="false" outlineLevel="0" collapsed="false">
      <c r="A387" s="15"/>
      <c r="B387" s="16"/>
      <c r="C387" s="16"/>
      <c r="D387" s="16"/>
      <c r="E387" s="16"/>
      <c r="F387" s="17"/>
      <c r="G387" s="18" t="str">
        <f aca="false">IF(OR(A387="",F387=""),"",IF(E387="USD",F387*Settings!$B$6,F387))</f>
        <v/>
      </c>
      <c r="H387" s="19" t="str">
        <f aca="false">IF(OR(A387="",F387=""),"",IF(E387="USD",F387,F387/Settings!$B$6))</f>
        <v/>
      </c>
      <c r="I387" s="20" t="str">
        <f aca="false">IF(A387="","",DATE(YEAR(A387),MONTH(A387),1))</f>
        <v/>
      </c>
    </row>
    <row r="388" customFormat="false" ht="15" hidden="false" customHeight="false" outlineLevel="0" collapsed="false">
      <c r="A388" s="15"/>
      <c r="B388" s="16"/>
      <c r="C388" s="16"/>
      <c r="D388" s="16"/>
      <c r="E388" s="16"/>
      <c r="F388" s="17"/>
      <c r="G388" s="18" t="str">
        <f aca="false">IF(OR(A388="",F388=""),"",IF(E388="USD",F388*Settings!$B$6,F388))</f>
        <v/>
      </c>
      <c r="H388" s="19" t="str">
        <f aca="false">IF(OR(A388="",F388=""),"",IF(E388="USD",F388,F388/Settings!$B$6))</f>
        <v/>
      </c>
      <c r="I388" s="20" t="str">
        <f aca="false">IF(A388="","",DATE(YEAR(A388),MONTH(A388),1))</f>
        <v/>
      </c>
    </row>
    <row r="389" customFormat="false" ht="15" hidden="false" customHeight="false" outlineLevel="0" collapsed="false">
      <c r="A389" s="15"/>
      <c r="B389" s="16"/>
      <c r="C389" s="16"/>
      <c r="D389" s="16"/>
      <c r="E389" s="16"/>
      <c r="F389" s="17"/>
      <c r="G389" s="18" t="str">
        <f aca="false">IF(OR(A389="",F389=""),"",IF(E389="USD",F389*Settings!$B$6,F389))</f>
        <v/>
      </c>
      <c r="H389" s="19" t="str">
        <f aca="false">IF(OR(A389="",F389=""),"",IF(E389="USD",F389,F389/Settings!$B$6))</f>
        <v/>
      </c>
      <c r="I389" s="20" t="str">
        <f aca="false">IF(A389="","",DATE(YEAR(A389),MONTH(A389),1))</f>
        <v/>
      </c>
    </row>
    <row r="390" customFormat="false" ht="15" hidden="false" customHeight="false" outlineLevel="0" collapsed="false">
      <c r="A390" s="15"/>
      <c r="B390" s="16"/>
      <c r="C390" s="16"/>
      <c r="D390" s="16"/>
      <c r="E390" s="16"/>
      <c r="F390" s="17"/>
      <c r="G390" s="18" t="str">
        <f aca="false">IF(OR(A390="",F390=""),"",IF(E390="USD",F390*Settings!$B$6,F390))</f>
        <v/>
      </c>
      <c r="H390" s="19" t="str">
        <f aca="false">IF(OR(A390="",F390=""),"",IF(E390="USD",F390,F390/Settings!$B$6))</f>
        <v/>
      </c>
      <c r="I390" s="20" t="str">
        <f aca="false">IF(A390="","",DATE(YEAR(A390),MONTH(A390),1))</f>
        <v/>
      </c>
    </row>
    <row r="391" customFormat="false" ht="15" hidden="false" customHeight="false" outlineLevel="0" collapsed="false">
      <c r="A391" s="15"/>
      <c r="B391" s="16"/>
      <c r="C391" s="16"/>
      <c r="D391" s="16"/>
      <c r="E391" s="16"/>
      <c r="F391" s="17"/>
      <c r="G391" s="18" t="str">
        <f aca="false">IF(OR(A391="",F391=""),"",IF(E391="USD",F391*Settings!$B$6,F391))</f>
        <v/>
      </c>
      <c r="H391" s="19" t="str">
        <f aca="false">IF(OR(A391="",F391=""),"",IF(E391="USD",F391,F391/Settings!$B$6))</f>
        <v/>
      </c>
      <c r="I391" s="20" t="str">
        <f aca="false">IF(A391="","",DATE(YEAR(A391),MONTH(A391),1))</f>
        <v/>
      </c>
    </row>
    <row r="392" customFormat="false" ht="15" hidden="false" customHeight="false" outlineLevel="0" collapsed="false">
      <c r="A392" s="15"/>
      <c r="B392" s="16"/>
      <c r="C392" s="16"/>
      <c r="D392" s="16"/>
      <c r="E392" s="16"/>
      <c r="F392" s="17"/>
      <c r="G392" s="18" t="str">
        <f aca="false">IF(OR(A392="",F392=""),"",IF(E392="USD",F392*Settings!$B$6,F392))</f>
        <v/>
      </c>
      <c r="H392" s="19" t="str">
        <f aca="false">IF(OR(A392="",F392=""),"",IF(E392="USD",F392,F392/Settings!$B$6))</f>
        <v/>
      </c>
      <c r="I392" s="20" t="str">
        <f aca="false">IF(A392="","",DATE(YEAR(A392),MONTH(A392),1))</f>
        <v/>
      </c>
    </row>
    <row r="393" customFormat="false" ht="15" hidden="false" customHeight="false" outlineLevel="0" collapsed="false">
      <c r="A393" s="15"/>
      <c r="B393" s="16"/>
      <c r="C393" s="16"/>
      <c r="D393" s="16"/>
      <c r="E393" s="16"/>
      <c r="F393" s="17"/>
      <c r="G393" s="18" t="str">
        <f aca="false">IF(OR(A393="",F393=""),"",IF(E393="USD",F393*Settings!$B$6,F393))</f>
        <v/>
      </c>
      <c r="H393" s="19" t="str">
        <f aca="false">IF(OR(A393="",F393=""),"",IF(E393="USD",F393,F393/Settings!$B$6))</f>
        <v/>
      </c>
      <c r="I393" s="20" t="str">
        <f aca="false">IF(A393="","",DATE(YEAR(A393),MONTH(A393),1))</f>
        <v/>
      </c>
    </row>
    <row r="394" customFormat="false" ht="15" hidden="false" customHeight="false" outlineLevel="0" collapsed="false">
      <c r="A394" s="15"/>
      <c r="B394" s="16"/>
      <c r="C394" s="16"/>
      <c r="D394" s="16"/>
      <c r="E394" s="16"/>
      <c r="F394" s="17"/>
      <c r="G394" s="18" t="str">
        <f aca="false">IF(OR(A394="",F394=""),"",IF(E394="USD",F394*Settings!$B$6,F394))</f>
        <v/>
      </c>
      <c r="H394" s="19" t="str">
        <f aca="false">IF(OR(A394="",F394=""),"",IF(E394="USD",F394,F394/Settings!$B$6))</f>
        <v/>
      </c>
      <c r="I394" s="20" t="str">
        <f aca="false">IF(A394="","",DATE(YEAR(A394),MONTH(A394),1))</f>
        <v/>
      </c>
    </row>
    <row r="395" customFormat="false" ht="15" hidden="false" customHeight="false" outlineLevel="0" collapsed="false">
      <c r="A395" s="15"/>
      <c r="B395" s="16"/>
      <c r="C395" s="16"/>
      <c r="D395" s="16"/>
      <c r="E395" s="16"/>
      <c r="F395" s="17"/>
      <c r="G395" s="18" t="str">
        <f aca="false">IF(OR(A395="",F395=""),"",IF(E395="USD",F395*Settings!$B$6,F395))</f>
        <v/>
      </c>
      <c r="H395" s="19" t="str">
        <f aca="false">IF(OR(A395="",F395=""),"",IF(E395="USD",F395,F395/Settings!$B$6))</f>
        <v/>
      </c>
      <c r="I395" s="20" t="str">
        <f aca="false">IF(A395="","",DATE(YEAR(A395),MONTH(A395),1))</f>
        <v/>
      </c>
    </row>
    <row r="396" customFormat="false" ht="15" hidden="false" customHeight="false" outlineLevel="0" collapsed="false">
      <c r="A396" s="15"/>
      <c r="B396" s="16"/>
      <c r="C396" s="16"/>
      <c r="D396" s="16"/>
      <c r="E396" s="16"/>
      <c r="F396" s="17"/>
      <c r="G396" s="18" t="str">
        <f aca="false">IF(OR(A396="",F396=""),"",IF(E396="USD",F396*Settings!$B$6,F396))</f>
        <v/>
      </c>
      <c r="H396" s="19" t="str">
        <f aca="false">IF(OR(A396="",F396=""),"",IF(E396="USD",F396,F396/Settings!$B$6))</f>
        <v/>
      </c>
      <c r="I396" s="20" t="str">
        <f aca="false">IF(A396="","",DATE(YEAR(A396),MONTH(A396),1))</f>
        <v/>
      </c>
    </row>
    <row r="397" customFormat="false" ht="15" hidden="false" customHeight="false" outlineLevel="0" collapsed="false">
      <c r="A397" s="15"/>
      <c r="B397" s="16"/>
      <c r="C397" s="16"/>
      <c r="D397" s="16"/>
      <c r="E397" s="16"/>
      <c r="F397" s="17"/>
      <c r="G397" s="18" t="str">
        <f aca="false">IF(OR(A397="",F397=""),"",IF(E397="USD",F397*Settings!$B$6,F397))</f>
        <v/>
      </c>
      <c r="H397" s="19" t="str">
        <f aca="false">IF(OR(A397="",F397=""),"",IF(E397="USD",F397,F397/Settings!$B$6))</f>
        <v/>
      </c>
      <c r="I397" s="20" t="str">
        <f aca="false">IF(A397="","",DATE(YEAR(A397),MONTH(A397),1))</f>
        <v/>
      </c>
    </row>
    <row r="398" customFormat="false" ht="15" hidden="false" customHeight="false" outlineLevel="0" collapsed="false">
      <c r="A398" s="15"/>
      <c r="B398" s="16"/>
      <c r="C398" s="16"/>
      <c r="D398" s="16"/>
      <c r="E398" s="16"/>
      <c r="F398" s="17"/>
      <c r="G398" s="18" t="str">
        <f aca="false">IF(OR(A398="",F398=""),"",IF(E398="USD",F398*Settings!$B$6,F398))</f>
        <v/>
      </c>
      <c r="H398" s="19" t="str">
        <f aca="false">IF(OR(A398="",F398=""),"",IF(E398="USD",F398,F398/Settings!$B$6))</f>
        <v/>
      </c>
      <c r="I398" s="20" t="str">
        <f aca="false">IF(A398="","",DATE(YEAR(A398),MONTH(A398),1))</f>
        <v/>
      </c>
    </row>
    <row r="399" customFormat="false" ht="15" hidden="false" customHeight="false" outlineLevel="0" collapsed="false">
      <c r="A399" s="15"/>
      <c r="B399" s="16"/>
      <c r="C399" s="16"/>
      <c r="D399" s="16"/>
      <c r="E399" s="16"/>
      <c r="F399" s="17"/>
      <c r="G399" s="18" t="str">
        <f aca="false">IF(OR(A399="",F399=""),"",IF(E399="USD",F399*Settings!$B$6,F399))</f>
        <v/>
      </c>
      <c r="H399" s="19" t="str">
        <f aca="false">IF(OR(A399="",F399=""),"",IF(E399="USD",F399,F399/Settings!$B$6))</f>
        <v/>
      </c>
      <c r="I399" s="20" t="str">
        <f aca="false">IF(A399="","",DATE(YEAR(A399),MONTH(A399),1))</f>
        <v/>
      </c>
    </row>
    <row r="400" customFormat="false" ht="15" hidden="false" customHeight="false" outlineLevel="0" collapsed="false">
      <c r="A400" s="15"/>
      <c r="B400" s="16"/>
      <c r="C400" s="16"/>
      <c r="D400" s="16"/>
      <c r="E400" s="16"/>
      <c r="F400" s="17"/>
      <c r="G400" s="18" t="str">
        <f aca="false">IF(OR(A400="",F400=""),"",IF(E400="USD",F400*Settings!$B$6,F400))</f>
        <v/>
      </c>
      <c r="H400" s="19" t="str">
        <f aca="false">IF(OR(A400="",F400=""),"",IF(E400="USD",F400,F400/Settings!$B$6))</f>
        <v/>
      </c>
      <c r="I400" s="20" t="str">
        <f aca="false">IF(A400="","",DATE(YEAR(A400),MONTH(A400),1))</f>
        <v/>
      </c>
    </row>
    <row r="401" customFormat="false" ht="15" hidden="false" customHeight="false" outlineLevel="0" collapsed="false">
      <c r="A401" s="15"/>
      <c r="B401" s="16"/>
      <c r="C401" s="16"/>
      <c r="D401" s="16"/>
      <c r="E401" s="16"/>
      <c r="F401" s="17"/>
      <c r="G401" s="18" t="str">
        <f aca="false">IF(OR(A401="",F401=""),"",IF(E401="USD",F401*Settings!$B$6,F401))</f>
        <v/>
      </c>
      <c r="H401" s="19" t="str">
        <f aca="false">IF(OR(A401="",F401=""),"",IF(E401="USD",F401,F401/Settings!$B$6))</f>
        <v/>
      </c>
      <c r="I401" s="20" t="str">
        <f aca="false">IF(A401="","",DATE(YEAR(A401),MONTH(A401),1))</f>
        <v/>
      </c>
    </row>
    <row r="402" customFormat="false" ht="15" hidden="false" customHeight="false" outlineLevel="0" collapsed="false">
      <c r="A402" s="15"/>
      <c r="B402" s="16"/>
      <c r="C402" s="16"/>
      <c r="D402" s="16"/>
      <c r="E402" s="16"/>
      <c r="F402" s="17"/>
      <c r="G402" s="18" t="str">
        <f aca="false">IF(OR(A402="",F402=""),"",IF(E402="USD",F402*Settings!$B$6,F402))</f>
        <v/>
      </c>
      <c r="H402" s="19" t="str">
        <f aca="false">IF(OR(A402="",F402=""),"",IF(E402="USD",F402,F402/Settings!$B$6))</f>
        <v/>
      </c>
      <c r="I402" s="20" t="str">
        <f aca="false">IF(A402="","",DATE(YEAR(A402),MONTH(A402),1))</f>
        <v/>
      </c>
    </row>
    <row r="403" customFormat="false" ht="15" hidden="false" customHeight="false" outlineLevel="0" collapsed="false">
      <c r="A403" s="15"/>
      <c r="B403" s="16"/>
      <c r="C403" s="16"/>
      <c r="D403" s="16"/>
      <c r="E403" s="16"/>
      <c r="F403" s="17"/>
      <c r="G403" s="18" t="str">
        <f aca="false">IF(OR(A403="",F403=""),"",IF(E403="USD",F403*Settings!$B$6,F403))</f>
        <v/>
      </c>
      <c r="H403" s="19" t="str">
        <f aca="false">IF(OR(A403="",F403=""),"",IF(E403="USD",F403,F403/Settings!$B$6))</f>
        <v/>
      </c>
      <c r="I403" s="20" t="str">
        <f aca="false">IF(A403="","",DATE(YEAR(A403),MONTH(A403),1))</f>
        <v/>
      </c>
    </row>
    <row r="404" customFormat="false" ht="15" hidden="false" customHeight="false" outlineLevel="0" collapsed="false">
      <c r="A404" s="15"/>
      <c r="B404" s="16"/>
      <c r="C404" s="16"/>
      <c r="D404" s="16"/>
      <c r="E404" s="16"/>
      <c r="F404" s="17"/>
      <c r="G404" s="18" t="str">
        <f aca="false">IF(OR(A404="",F404=""),"",IF(E404="USD",F404*Settings!$B$6,F404))</f>
        <v/>
      </c>
      <c r="H404" s="19" t="str">
        <f aca="false">IF(OR(A404="",F404=""),"",IF(E404="USD",F404,F404/Settings!$B$6))</f>
        <v/>
      </c>
      <c r="I404" s="20" t="str">
        <f aca="false">IF(A404="","",DATE(YEAR(A404),MONTH(A404),1))</f>
        <v/>
      </c>
    </row>
    <row r="405" customFormat="false" ht="15" hidden="false" customHeight="false" outlineLevel="0" collapsed="false">
      <c r="A405" s="15"/>
      <c r="B405" s="16"/>
      <c r="C405" s="16"/>
      <c r="D405" s="16"/>
      <c r="E405" s="16"/>
      <c r="F405" s="17"/>
      <c r="G405" s="18" t="str">
        <f aca="false">IF(OR(A405="",F405=""),"",IF(E405="USD",F405*Settings!$B$6,F405))</f>
        <v/>
      </c>
      <c r="H405" s="19" t="str">
        <f aca="false">IF(OR(A405="",F405=""),"",IF(E405="USD",F405,F405/Settings!$B$6))</f>
        <v/>
      </c>
      <c r="I405" s="20" t="str">
        <f aca="false">IF(A405="","",DATE(YEAR(A405),MONTH(A405),1))</f>
        <v/>
      </c>
    </row>
    <row r="406" customFormat="false" ht="15" hidden="false" customHeight="false" outlineLevel="0" collapsed="false">
      <c r="A406" s="15"/>
      <c r="B406" s="16"/>
      <c r="C406" s="16"/>
      <c r="D406" s="16"/>
      <c r="E406" s="16"/>
      <c r="F406" s="17"/>
      <c r="G406" s="18" t="str">
        <f aca="false">IF(OR(A406="",F406=""),"",IF(E406="USD",F406*Settings!$B$6,F406))</f>
        <v/>
      </c>
      <c r="H406" s="19" t="str">
        <f aca="false">IF(OR(A406="",F406=""),"",IF(E406="USD",F406,F406/Settings!$B$6))</f>
        <v/>
      </c>
      <c r="I406" s="20" t="str">
        <f aca="false">IF(A406="","",DATE(YEAR(A406),MONTH(A406),1))</f>
        <v/>
      </c>
    </row>
    <row r="407" customFormat="false" ht="15" hidden="false" customHeight="false" outlineLevel="0" collapsed="false">
      <c r="A407" s="15"/>
      <c r="B407" s="16"/>
      <c r="C407" s="16"/>
      <c r="D407" s="16"/>
      <c r="E407" s="16"/>
      <c r="F407" s="17"/>
      <c r="G407" s="18" t="str">
        <f aca="false">IF(OR(A407="",F407=""),"",IF(E407="USD",F407*Settings!$B$6,F407))</f>
        <v/>
      </c>
      <c r="H407" s="19" t="str">
        <f aca="false">IF(OR(A407="",F407=""),"",IF(E407="USD",F407,F407/Settings!$B$6))</f>
        <v/>
      </c>
      <c r="I407" s="20" t="str">
        <f aca="false">IF(A407="","",DATE(YEAR(A407),MONTH(A407),1))</f>
        <v/>
      </c>
    </row>
    <row r="408" customFormat="false" ht="15" hidden="false" customHeight="false" outlineLevel="0" collapsed="false">
      <c r="A408" s="15"/>
      <c r="B408" s="16"/>
      <c r="C408" s="16"/>
      <c r="D408" s="16"/>
      <c r="E408" s="16"/>
      <c r="F408" s="17"/>
      <c r="G408" s="18" t="str">
        <f aca="false">IF(OR(A408="",F408=""),"",IF(E408="USD",F408*Settings!$B$6,F408))</f>
        <v/>
      </c>
      <c r="H408" s="19" t="str">
        <f aca="false">IF(OR(A408="",F408=""),"",IF(E408="USD",F408,F408/Settings!$B$6))</f>
        <v/>
      </c>
      <c r="I408" s="20" t="str">
        <f aca="false">IF(A408="","",DATE(YEAR(A408),MONTH(A408),1))</f>
        <v/>
      </c>
    </row>
    <row r="409" customFormat="false" ht="15" hidden="false" customHeight="false" outlineLevel="0" collapsed="false">
      <c r="A409" s="15"/>
      <c r="B409" s="16"/>
      <c r="C409" s="16"/>
      <c r="D409" s="16"/>
      <c r="E409" s="16"/>
      <c r="F409" s="17"/>
      <c r="G409" s="18" t="str">
        <f aca="false">IF(OR(A409="",F409=""),"",IF(E409="USD",F409*Settings!$B$6,F409))</f>
        <v/>
      </c>
      <c r="H409" s="19" t="str">
        <f aca="false">IF(OR(A409="",F409=""),"",IF(E409="USD",F409,F409/Settings!$B$6))</f>
        <v/>
      </c>
      <c r="I409" s="20" t="str">
        <f aca="false">IF(A409="","",DATE(YEAR(A409),MONTH(A409),1))</f>
        <v/>
      </c>
    </row>
    <row r="410" customFormat="false" ht="15" hidden="false" customHeight="false" outlineLevel="0" collapsed="false">
      <c r="A410" s="15"/>
      <c r="B410" s="16"/>
      <c r="C410" s="16"/>
      <c r="D410" s="16"/>
      <c r="E410" s="16"/>
      <c r="F410" s="17"/>
      <c r="G410" s="18" t="str">
        <f aca="false">IF(OR(A410="",F410=""),"",IF(E410="USD",F410*Settings!$B$6,F410))</f>
        <v/>
      </c>
      <c r="H410" s="19" t="str">
        <f aca="false">IF(OR(A410="",F410=""),"",IF(E410="USD",F410,F410/Settings!$B$6))</f>
        <v/>
      </c>
      <c r="I410" s="20" t="str">
        <f aca="false">IF(A410="","",DATE(YEAR(A410),MONTH(A410),1))</f>
        <v/>
      </c>
    </row>
    <row r="411" customFormat="false" ht="15" hidden="false" customHeight="false" outlineLevel="0" collapsed="false">
      <c r="A411" s="15"/>
      <c r="B411" s="16"/>
      <c r="C411" s="16"/>
      <c r="D411" s="16"/>
      <c r="E411" s="16"/>
      <c r="F411" s="17"/>
      <c r="G411" s="18" t="str">
        <f aca="false">IF(OR(A411="",F411=""),"",IF(E411="USD",F411*Settings!$B$6,F411))</f>
        <v/>
      </c>
      <c r="H411" s="19" t="str">
        <f aca="false">IF(OR(A411="",F411=""),"",IF(E411="USD",F411,F411/Settings!$B$6))</f>
        <v/>
      </c>
      <c r="I411" s="20" t="str">
        <f aca="false">IF(A411="","",DATE(YEAR(A411),MONTH(A411),1))</f>
        <v/>
      </c>
    </row>
    <row r="412" customFormat="false" ht="15" hidden="false" customHeight="false" outlineLevel="0" collapsed="false">
      <c r="A412" s="15"/>
      <c r="B412" s="16"/>
      <c r="C412" s="16"/>
      <c r="D412" s="16"/>
      <c r="E412" s="16"/>
      <c r="F412" s="17"/>
      <c r="G412" s="18" t="str">
        <f aca="false">IF(OR(A412="",F412=""),"",IF(E412="USD",F412*Settings!$B$6,F412))</f>
        <v/>
      </c>
      <c r="H412" s="19" t="str">
        <f aca="false">IF(OR(A412="",F412=""),"",IF(E412="USD",F412,F412/Settings!$B$6))</f>
        <v/>
      </c>
      <c r="I412" s="20" t="str">
        <f aca="false">IF(A412="","",DATE(YEAR(A412),MONTH(A412),1))</f>
        <v/>
      </c>
    </row>
    <row r="413" customFormat="false" ht="15" hidden="false" customHeight="false" outlineLevel="0" collapsed="false">
      <c r="A413" s="15"/>
      <c r="B413" s="16"/>
      <c r="C413" s="16"/>
      <c r="D413" s="16"/>
      <c r="E413" s="16"/>
      <c r="F413" s="17"/>
      <c r="G413" s="18" t="str">
        <f aca="false">IF(OR(A413="",F413=""),"",IF(E413="USD",F413*Settings!$B$6,F413))</f>
        <v/>
      </c>
      <c r="H413" s="19" t="str">
        <f aca="false">IF(OR(A413="",F413=""),"",IF(E413="USD",F413,F413/Settings!$B$6))</f>
        <v/>
      </c>
      <c r="I413" s="20" t="str">
        <f aca="false">IF(A413="","",DATE(YEAR(A413),MONTH(A413),1))</f>
        <v/>
      </c>
    </row>
    <row r="414" customFormat="false" ht="15" hidden="false" customHeight="false" outlineLevel="0" collapsed="false">
      <c r="A414" s="15"/>
      <c r="B414" s="16"/>
      <c r="C414" s="16"/>
      <c r="D414" s="16"/>
      <c r="E414" s="16"/>
      <c r="F414" s="17"/>
      <c r="G414" s="18" t="str">
        <f aca="false">IF(OR(A414="",F414=""),"",IF(E414="USD",F414*Settings!$B$6,F414))</f>
        <v/>
      </c>
      <c r="H414" s="19" t="str">
        <f aca="false">IF(OR(A414="",F414=""),"",IF(E414="USD",F414,F414/Settings!$B$6))</f>
        <v/>
      </c>
      <c r="I414" s="20" t="str">
        <f aca="false">IF(A414="","",DATE(YEAR(A414),MONTH(A414),1))</f>
        <v/>
      </c>
    </row>
    <row r="415" customFormat="false" ht="15" hidden="false" customHeight="false" outlineLevel="0" collapsed="false">
      <c r="A415" s="15"/>
      <c r="B415" s="16"/>
      <c r="C415" s="16"/>
      <c r="D415" s="16"/>
      <c r="E415" s="16"/>
      <c r="F415" s="17"/>
      <c r="G415" s="18" t="str">
        <f aca="false">IF(OR(A415="",F415=""),"",IF(E415="USD",F415*Settings!$B$6,F415))</f>
        <v/>
      </c>
      <c r="H415" s="19" t="str">
        <f aca="false">IF(OR(A415="",F415=""),"",IF(E415="USD",F415,F415/Settings!$B$6))</f>
        <v/>
      </c>
      <c r="I415" s="20" t="str">
        <f aca="false">IF(A415="","",DATE(YEAR(A415),MONTH(A415),1))</f>
        <v/>
      </c>
    </row>
    <row r="416" customFormat="false" ht="15" hidden="false" customHeight="false" outlineLevel="0" collapsed="false">
      <c r="A416" s="15"/>
      <c r="B416" s="16"/>
      <c r="C416" s="16"/>
      <c r="D416" s="16"/>
      <c r="E416" s="16"/>
      <c r="F416" s="17"/>
      <c r="G416" s="18" t="str">
        <f aca="false">IF(OR(A416="",F416=""),"",IF(E416="USD",F416*Settings!$B$6,F416))</f>
        <v/>
      </c>
      <c r="H416" s="19" t="str">
        <f aca="false">IF(OR(A416="",F416=""),"",IF(E416="USD",F416,F416/Settings!$B$6))</f>
        <v/>
      </c>
      <c r="I416" s="20" t="str">
        <f aca="false">IF(A416="","",DATE(YEAR(A416),MONTH(A416),1))</f>
        <v/>
      </c>
    </row>
    <row r="417" customFormat="false" ht="15" hidden="false" customHeight="false" outlineLevel="0" collapsed="false">
      <c r="A417" s="15"/>
      <c r="B417" s="16"/>
      <c r="C417" s="16"/>
      <c r="D417" s="16"/>
      <c r="E417" s="16"/>
      <c r="F417" s="17"/>
      <c r="G417" s="18" t="str">
        <f aca="false">IF(OR(A417="",F417=""),"",IF(E417="USD",F417*Settings!$B$6,F417))</f>
        <v/>
      </c>
      <c r="H417" s="19" t="str">
        <f aca="false">IF(OR(A417="",F417=""),"",IF(E417="USD",F417,F417/Settings!$B$6))</f>
        <v/>
      </c>
      <c r="I417" s="20" t="str">
        <f aca="false">IF(A417="","",DATE(YEAR(A417),MONTH(A417),1))</f>
        <v/>
      </c>
    </row>
    <row r="418" customFormat="false" ht="15" hidden="false" customHeight="false" outlineLevel="0" collapsed="false">
      <c r="A418" s="15"/>
      <c r="B418" s="16"/>
      <c r="C418" s="16"/>
      <c r="D418" s="16"/>
      <c r="E418" s="16"/>
      <c r="F418" s="17"/>
      <c r="G418" s="18" t="str">
        <f aca="false">IF(OR(A418="",F418=""),"",IF(E418="USD",F418*Settings!$B$6,F418))</f>
        <v/>
      </c>
      <c r="H418" s="19" t="str">
        <f aca="false">IF(OR(A418="",F418=""),"",IF(E418="USD",F418,F418/Settings!$B$6))</f>
        <v/>
      </c>
      <c r="I418" s="20" t="str">
        <f aca="false">IF(A418="","",DATE(YEAR(A418),MONTH(A418),1))</f>
        <v/>
      </c>
    </row>
    <row r="419" customFormat="false" ht="15" hidden="false" customHeight="false" outlineLevel="0" collapsed="false">
      <c r="A419" s="15"/>
      <c r="B419" s="16"/>
      <c r="C419" s="16"/>
      <c r="D419" s="16"/>
      <c r="E419" s="16"/>
      <c r="F419" s="17"/>
      <c r="G419" s="18" t="str">
        <f aca="false">IF(OR(A419="",F419=""),"",IF(E419="USD",F419*Settings!$B$6,F419))</f>
        <v/>
      </c>
      <c r="H419" s="19" t="str">
        <f aca="false">IF(OR(A419="",F419=""),"",IF(E419="USD",F419,F419/Settings!$B$6))</f>
        <v/>
      </c>
      <c r="I419" s="20" t="str">
        <f aca="false">IF(A419="","",DATE(YEAR(A419),MONTH(A419),1))</f>
        <v/>
      </c>
    </row>
    <row r="420" customFormat="false" ht="15" hidden="false" customHeight="false" outlineLevel="0" collapsed="false">
      <c r="A420" s="15"/>
      <c r="B420" s="16"/>
      <c r="C420" s="16"/>
      <c r="D420" s="16"/>
      <c r="E420" s="16"/>
      <c r="F420" s="17"/>
      <c r="G420" s="18" t="str">
        <f aca="false">IF(OR(A420="",F420=""),"",IF(E420="USD",F420*Settings!$B$6,F420))</f>
        <v/>
      </c>
      <c r="H420" s="19" t="str">
        <f aca="false">IF(OR(A420="",F420=""),"",IF(E420="USD",F420,F420/Settings!$B$6))</f>
        <v/>
      </c>
      <c r="I420" s="20" t="str">
        <f aca="false">IF(A420="","",DATE(YEAR(A420),MONTH(A420),1))</f>
        <v/>
      </c>
    </row>
    <row r="421" customFormat="false" ht="15" hidden="false" customHeight="false" outlineLevel="0" collapsed="false">
      <c r="A421" s="15"/>
      <c r="B421" s="16"/>
      <c r="C421" s="16"/>
      <c r="D421" s="16"/>
      <c r="E421" s="16"/>
      <c r="F421" s="17"/>
      <c r="G421" s="18" t="str">
        <f aca="false">IF(OR(A421="",F421=""),"",IF(E421="USD",F421*Settings!$B$6,F421))</f>
        <v/>
      </c>
      <c r="H421" s="19" t="str">
        <f aca="false">IF(OR(A421="",F421=""),"",IF(E421="USD",F421,F421/Settings!$B$6))</f>
        <v/>
      </c>
      <c r="I421" s="20" t="str">
        <f aca="false">IF(A421="","",DATE(YEAR(A421),MONTH(A421),1))</f>
        <v/>
      </c>
    </row>
    <row r="422" customFormat="false" ht="15" hidden="false" customHeight="false" outlineLevel="0" collapsed="false">
      <c r="A422" s="15"/>
      <c r="B422" s="16"/>
      <c r="C422" s="16"/>
      <c r="D422" s="16"/>
      <c r="E422" s="16"/>
      <c r="F422" s="17"/>
      <c r="G422" s="18" t="str">
        <f aca="false">IF(OR(A422="",F422=""),"",IF(E422="USD",F422*Settings!$B$6,F422))</f>
        <v/>
      </c>
      <c r="H422" s="19" t="str">
        <f aca="false">IF(OR(A422="",F422=""),"",IF(E422="USD",F422,F422/Settings!$B$6))</f>
        <v/>
      </c>
      <c r="I422" s="20" t="str">
        <f aca="false">IF(A422="","",DATE(YEAR(A422),MONTH(A422),1))</f>
        <v/>
      </c>
    </row>
    <row r="423" customFormat="false" ht="15" hidden="false" customHeight="false" outlineLevel="0" collapsed="false">
      <c r="A423" s="15"/>
      <c r="B423" s="16"/>
      <c r="C423" s="16"/>
      <c r="D423" s="16"/>
      <c r="E423" s="16"/>
      <c r="F423" s="17"/>
      <c r="G423" s="18" t="str">
        <f aca="false">IF(OR(A423="",F423=""),"",IF(E423="USD",F423*Settings!$B$6,F423))</f>
        <v/>
      </c>
      <c r="H423" s="19" t="str">
        <f aca="false">IF(OR(A423="",F423=""),"",IF(E423="USD",F423,F423/Settings!$B$6))</f>
        <v/>
      </c>
      <c r="I423" s="20" t="str">
        <f aca="false">IF(A423="","",DATE(YEAR(A423),MONTH(A423),1))</f>
        <v/>
      </c>
    </row>
    <row r="424" customFormat="false" ht="15" hidden="false" customHeight="false" outlineLevel="0" collapsed="false">
      <c r="A424" s="15"/>
      <c r="B424" s="16"/>
      <c r="C424" s="16"/>
      <c r="D424" s="16"/>
      <c r="E424" s="16"/>
      <c r="F424" s="17"/>
      <c r="G424" s="18" t="str">
        <f aca="false">IF(OR(A424="",F424=""),"",IF(E424="USD",F424*Settings!$B$6,F424))</f>
        <v/>
      </c>
      <c r="H424" s="19" t="str">
        <f aca="false">IF(OR(A424="",F424=""),"",IF(E424="USD",F424,F424/Settings!$B$6))</f>
        <v/>
      </c>
      <c r="I424" s="20" t="str">
        <f aca="false">IF(A424="","",DATE(YEAR(A424),MONTH(A424),1))</f>
        <v/>
      </c>
    </row>
    <row r="425" customFormat="false" ht="15" hidden="false" customHeight="false" outlineLevel="0" collapsed="false">
      <c r="A425" s="15"/>
      <c r="B425" s="16"/>
      <c r="C425" s="16"/>
      <c r="D425" s="16"/>
      <c r="E425" s="16"/>
      <c r="F425" s="17"/>
      <c r="G425" s="18" t="str">
        <f aca="false">IF(OR(A425="",F425=""),"",IF(E425="USD",F425*Settings!$B$6,F425))</f>
        <v/>
      </c>
      <c r="H425" s="19" t="str">
        <f aca="false">IF(OR(A425="",F425=""),"",IF(E425="USD",F425,F425/Settings!$B$6))</f>
        <v/>
      </c>
      <c r="I425" s="20" t="str">
        <f aca="false">IF(A425="","",DATE(YEAR(A425),MONTH(A425),1))</f>
        <v/>
      </c>
    </row>
    <row r="426" customFormat="false" ht="15" hidden="false" customHeight="false" outlineLevel="0" collapsed="false">
      <c r="A426" s="15"/>
      <c r="B426" s="16"/>
      <c r="C426" s="16"/>
      <c r="D426" s="16"/>
      <c r="E426" s="16"/>
      <c r="F426" s="17"/>
      <c r="G426" s="18" t="str">
        <f aca="false">IF(OR(A426="",F426=""),"",IF(E426="USD",F426*Settings!$B$6,F426))</f>
        <v/>
      </c>
      <c r="H426" s="19" t="str">
        <f aca="false">IF(OR(A426="",F426=""),"",IF(E426="USD",F426,F426/Settings!$B$6))</f>
        <v/>
      </c>
      <c r="I426" s="20" t="str">
        <f aca="false">IF(A426="","",DATE(YEAR(A426),MONTH(A426),1))</f>
        <v/>
      </c>
    </row>
    <row r="427" customFormat="false" ht="15" hidden="false" customHeight="false" outlineLevel="0" collapsed="false">
      <c r="A427" s="15"/>
      <c r="B427" s="16"/>
      <c r="C427" s="16"/>
      <c r="D427" s="16"/>
      <c r="E427" s="16"/>
      <c r="F427" s="17"/>
      <c r="G427" s="18" t="str">
        <f aca="false">IF(OR(A427="",F427=""),"",IF(E427="USD",F427*Settings!$B$6,F427))</f>
        <v/>
      </c>
      <c r="H427" s="19" t="str">
        <f aca="false">IF(OR(A427="",F427=""),"",IF(E427="USD",F427,F427/Settings!$B$6))</f>
        <v/>
      </c>
      <c r="I427" s="20" t="str">
        <f aca="false">IF(A427="","",DATE(YEAR(A427),MONTH(A427),1))</f>
        <v/>
      </c>
    </row>
    <row r="428" customFormat="false" ht="15" hidden="false" customHeight="false" outlineLevel="0" collapsed="false">
      <c r="A428" s="15"/>
      <c r="B428" s="16"/>
      <c r="C428" s="16"/>
      <c r="D428" s="16"/>
      <c r="E428" s="16"/>
      <c r="F428" s="17"/>
      <c r="G428" s="18" t="str">
        <f aca="false">IF(OR(A428="",F428=""),"",IF(E428="USD",F428*Settings!$B$6,F428))</f>
        <v/>
      </c>
      <c r="H428" s="19" t="str">
        <f aca="false">IF(OR(A428="",F428=""),"",IF(E428="USD",F428,F428/Settings!$B$6))</f>
        <v/>
      </c>
      <c r="I428" s="20" t="str">
        <f aca="false">IF(A428="","",DATE(YEAR(A428),MONTH(A428),1))</f>
        <v/>
      </c>
    </row>
    <row r="429" customFormat="false" ht="15" hidden="false" customHeight="false" outlineLevel="0" collapsed="false">
      <c r="A429" s="15"/>
      <c r="B429" s="16"/>
      <c r="C429" s="16"/>
      <c r="D429" s="16"/>
      <c r="E429" s="16"/>
      <c r="F429" s="17"/>
      <c r="G429" s="18" t="str">
        <f aca="false">IF(OR(A429="",F429=""),"",IF(E429="USD",F429*Settings!$B$6,F429))</f>
        <v/>
      </c>
      <c r="H429" s="19" t="str">
        <f aca="false">IF(OR(A429="",F429=""),"",IF(E429="USD",F429,F429/Settings!$B$6))</f>
        <v/>
      </c>
      <c r="I429" s="20" t="str">
        <f aca="false">IF(A429="","",DATE(YEAR(A429),MONTH(A429),1))</f>
        <v/>
      </c>
    </row>
    <row r="430" customFormat="false" ht="15" hidden="false" customHeight="false" outlineLevel="0" collapsed="false">
      <c r="A430" s="15"/>
      <c r="B430" s="16"/>
      <c r="C430" s="16"/>
      <c r="D430" s="16"/>
      <c r="E430" s="16"/>
      <c r="F430" s="17"/>
      <c r="G430" s="18" t="str">
        <f aca="false">IF(OR(A430="",F430=""),"",IF(E430="USD",F430*Settings!$B$6,F430))</f>
        <v/>
      </c>
      <c r="H430" s="19" t="str">
        <f aca="false">IF(OR(A430="",F430=""),"",IF(E430="USD",F430,F430/Settings!$B$6))</f>
        <v/>
      </c>
      <c r="I430" s="20" t="str">
        <f aca="false">IF(A430="","",DATE(YEAR(A430),MONTH(A430),1))</f>
        <v/>
      </c>
    </row>
    <row r="431" customFormat="false" ht="15" hidden="false" customHeight="false" outlineLevel="0" collapsed="false">
      <c r="A431" s="15"/>
      <c r="B431" s="16"/>
      <c r="C431" s="16"/>
      <c r="D431" s="16"/>
      <c r="E431" s="16"/>
      <c r="F431" s="17"/>
      <c r="G431" s="18" t="str">
        <f aca="false">IF(OR(A431="",F431=""),"",IF(E431="USD",F431*Settings!$B$6,F431))</f>
        <v/>
      </c>
      <c r="H431" s="19" t="str">
        <f aca="false">IF(OR(A431="",F431=""),"",IF(E431="USD",F431,F431/Settings!$B$6))</f>
        <v/>
      </c>
      <c r="I431" s="20" t="str">
        <f aca="false">IF(A431="","",DATE(YEAR(A431),MONTH(A431),1))</f>
        <v/>
      </c>
    </row>
    <row r="432" customFormat="false" ht="15" hidden="false" customHeight="false" outlineLevel="0" collapsed="false">
      <c r="A432" s="15"/>
      <c r="B432" s="16"/>
      <c r="C432" s="16"/>
      <c r="D432" s="16"/>
      <c r="E432" s="16"/>
      <c r="F432" s="17"/>
      <c r="G432" s="18" t="str">
        <f aca="false">IF(OR(A432="",F432=""),"",IF(E432="USD",F432*Settings!$B$6,F432))</f>
        <v/>
      </c>
      <c r="H432" s="19" t="str">
        <f aca="false">IF(OR(A432="",F432=""),"",IF(E432="USD",F432,F432/Settings!$B$6))</f>
        <v/>
      </c>
      <c r="I432" s="20" t="str">
        <f aca="false">IF(A432="","",DATE(YEAR(A432),MONTH(A432),1))</f>
        <v/>
      </c>
    </row>
    <row r="433" customFormat="false" ht="15" hidden="false" customHeight="false" outlineLevel="0" collapsed="false">
      <c r="A433" s="15"/>
      <c r="B433" s="16"/>
      <c r="C433" s="16"/>
      <c r="D433" s="16"/>
      <c r="E433" s="16"/>
      <c r="F433" s="17"/>
      <c r="G433" s="18" t="str">
        <f aca="false">IF(OR(A433="",F433=""),"",IF(E433="USD",F433*Settings!$B$6,F433))</f>
        <v/>
      </c>
      <c r="H433" s="19" t="str">
        <f aca="false">IF(OR(A433="",F433=""),"",IF(E433="USD",F433,F433/Settings!$B$6))</f>
        <v/>
      </c>
      <c r="I433" s="20" t="str">
        <f aca="false">IF(A433="","",DATE(YEAR(A433),MONTH(A433),1))</f>
        <v/>
      </c>
    </row>
    <row r="434" customFormat="false" ht="15" hidden="false" customHeight="false" outlineLevel="0" collapsed="false">
      <c r="A434" s="15"/>
      <c r="B434" s="16"/>
      <c r="C434" s="16"/>
      <c r="D434" s="16"/>
      <c r="E434" s="16"/>
      <c r="F434" s="17"/>
      <c r="G434" s="18" t="str">
        <f aca="false">IF(OR(A434="",F434=""),"",IF(E434="USD",F434*Settings!$B$6,F434))</f>
        <v/>
      </c>
      <c r="H434" s="19" t="str">
        <f aca="false">IF(OR(A434="",F434=""),"",IF(E434="USD",F434,F434/Settings!$B$6))</f>
        <v/>
      </c>
      <c r="I434" s="20" t="str">
        <f aca="false">IF(A434="","",DATE(YEAR(A434),MONTH(A434),1))</f>
        <v/>
      </c>
    </row>
    <row r="435" customFormat="false" ht="15" hidden="false" customHeight="false" outlineLevel="0" collapsed="false">
      <c r="A435" s="15"/>
      <c r="B435" s="16"/>
      <c r="C435" s="16"/>
      <c r="D435" s="16"/>
      <c r="E435" s="16"/>
      <c r="F435" s="17"/>
      <c r="G435" s="18" t="str">
        <f aca="false">IF(OR(A435="",F435=""),"",IF(E435="USD",F435*Settings!$B$6,F435))</f>
        <v/>
      </c>
      <c r="H435" s="19" t="str">
        <f aca="false">IF(OR(A435="",F435=""),"",IF(E435="USD",F435,F435/Settings!$B$6))</f>
        <v/>
      </c>
      <c r="I435" s="20" t="str">
        <f aca="false">IF(A435="","",DATE(YEAR(A435),MONTH(A435),1))</f>
        <v/>
      </c>
    </row>
    <row r="436" customFormat="false" ht="15" hidden="false" customHeight="false" outlineLevel="0" collapsed="false">
      <c r="A436" s="15"/>
      <c r="B436" s="16"/>
      <c r="C436" s="16"/>
      <c r="D436" s="16"/>
      <c r="E436" s="16"/>
      <c r="F436" s="17"/>
      <c r="G436" s="18" t="str">
        <f aca="false">IF(OR(A436="",F436=""),"",IF(E436="USD",F436*Settings!$B$6,F436))</f>
        <v/>
      </c>
      <c r="H436" s="19" t="str">
        <f aca="false">IF(OR(A436="",F436=""),"",IF(E436="USD",F436,F436/Settings!$B$6))</f>
        <v/>
      </c>
      <c r="I436" s="20" t="str">
        <f aca="false">IF(A436="","",DATE(YEAR(A436),MONTH(A436),1))</f>
        <v/>
      </c>
    </row>
    <row r="437" customFormat="false" ht="15" hidden="false" customHeight="false" outlineLevel="0" collapsed="false">
      <c r="A437" s="15"/>
      <c r="B437" s="16"/>
      <c r="C437" s="16"/>
      <c r="D437" s="16"/>
      <c r="E437" s="16"/>
      <c r="F437" s="17"/>
      <c r="G437" s="18" t="str">
        <f aca="false">IF(OR(A437="",F437=""),"",IF(E437="USD",F437*Settings!$B$6,F437))</f>
        <v/>
      </c>
      <c r="H437" s="19" t="str">
        <f aca="false">IF(OR(A437="",F437=""),"",IF(E437="USD",F437,F437/Settings!$B$6))</f>
        <v/>
      </c>
      <c r="I437" s="20" t="str">
        <f aca="false">IF(A437="","",DATE(YEAR(A437),MONTH(A437),1))</f>
        <v/>
      </c>
    </row>
    <row r="438" customFormat="false" ht="15" hidden="false" customHeight="false" outlineLevel="0" collapsed="false">
      <c r="A438" s="15"/>
      <c r="B438" s="16"/>
      <c r="C438" s="16"/>
      <c r="D438" s="16"/>
      <c r="E438" s="16"/>
      <c r="F438" s="17"/>
      <c r="G438" s="18" t="str">
        <f aca="false">IF(OR(A438="",F438=""),"",IF(E438="USD",F438*Settings!$B$6,F438))</f>
        <v/>
      </c>
      <c r="H438" s="19" t="str">
        <f aca="false">IF(OR(A438="",F438=""),"",IF(E438="USD",F438,F438/Settings!$B$6))</f>
        <v/>
      </c>
      <c r="I438" s="20" t="str">
        <f aca="false">IF(A438="","",DATE(YEAR(A438),MONTH(A438),1))</f>
        <v/>
      </c>
    </row>
    <row r="439" customFormat="false" ht="15" hidden="false" customHeight="false" outlineLevel="0" collapsed="false">
      <c r="A439" s="15"/>
      <c r="B439" s="16"/>
      <c r="C439" s="16"/>
      <c r="D439" s="16"/>
      <c r="E439" s="16"/>
      <c r="F439" s="17"/>
      <c r="G439" s="18" t="str">
        <f aca="false">IF(OR(A439="",F439=""),"",IF(E439="USD",F439*Settings!$B$6,F439))</f>
        <v/>
      </c>
      <c r="H439" s="19" t="str">
        <f aca="false">IF(OR(A439="",F439=""),"",IF(E439="USD",F439,F439/Settings!$B$6))</f>
        <v/>
      </c>
      <c r="I439" s="20" t="str">
        <f aca="false">IF(A439="","",DATE(YEAR(A439),MONTH(A439),1))</f>
        <v/>
      </c>
    </row>
    <row r="440" customFormat="false" ht="15" hidden="false" customHeight="false" outlineLevel="0" collapsed="false">
      <c r="A440" s="15"/>
      <c r="B440" s="16"/>
      <c r="C440" s="16"/>
      <c r="D440" s="16"/>
      <c r="E440" s="16"/>
      <c r="F440" s="17"/>
      <c r="G440" s="18" t="str">
        <f aca="false">IF(OR(A440="",F440=""),"",IF(E440="USD",F440*Settings!$B$6,F440))</f>
        <v/>
      </c>
      <c r="H440" s="19" t="str">
        <f aca="false">IF(OR(A440="",F440=""),"",IF(E440="USD",F440,F440/Settings!$B$6))</f>
        <v/>
      </c>
      <c r="I440" s="20" t="str">
        <f aca="false">IF(A440="","",DATE(YEAR(A440),MONTH(A440),1))</f>
        <v/>
      </c>
    </row>
    <row r="441" customFormat="false" ht="15" hidden="false" customHeight="false" outlineLevel="0" collapsed="false">
      <c r="A441" s="15"/>
      <c r="B441" s="16"/>
      <c r="C441" s="16"/>
      <c r="D441" s="16"/>
      <c r="E441" s="16"/>
      <c r="F441" s="17"/>
      <c r="G441" s="18" t="str">
        <f aca="false">IF(OR(A441="",F441=""),"",IF(E441="USD",F441*Settings!$B$6,F441))</f>
        <v/>
      </c>
      <c r="H441" s="19" t="str">
        <f aca="false">IF(OR(A441="",F441=""),"",IF(E441="USD",F441,F441/Settings!$B$6))</f>
        <v/>
      </c>
      <c r="I441" s="20" t="str">
        <f aca="false">IF(A441="","",DATE(YEAR(A441),MONTH(A441),1))</f>
        <v/>
      </c>
    </row>
    <row r="442" customFormat="false" ht="15" hidden="false" customHeight="false" outlineLevel="0" collapsed="false">
      <c r="A442" s="15"/>
      <c r="B442" s="16"/>
      <c r="C442" s="16"/>
      <c r="D442" s="16"/>
      <c r="E442" s="16"/>
      <c r="F442" s="17"/>
      <c r="G442" s="18" t="str">
        <f aca="false">IF(OR(A442="",F442=""),"",IF(E442="USD",F442*Settings!$B$6,F442))</f>
        <v/>
      </c>
      <c r="H442" s="19" t="str">
        <f aca="false">IF(OR(A442="",F442=""),"",IF(E442="USD",F442,F442/Settings!$B$6))</f>
        <v/>
      </c>
      <c r="I442" s="20" t="str">
        <f aca="false">IF(A442="","",DATE(YEAR(A442),MONTH(A442),1))</f>
        <v/>
      </c>
    </row>
    <row r="443" customFormat="false" ht="15" hidden="false" customHeight="false" outlineLevel="0" collapsed="false">
      <c r="A443" s="15"/>
      <c r="B443" s="16"/>
      <c r="C443" s="16"/>
      <c r="D443" s="16"/>
      <c r="E443" s="16"/>
      <c r="F443" s="17"/>
      <c r="G443" s="18" t="str">
        <f aca="false">IF(OR(A443="",F443=""),"",IF(E443="USD",F443*Settings!$B$6,F443))</f>
        <v/>
      </c>
      <c r="H443" s="19" t="str">
        <f aca="false">IF(OR(A443="",F443=""),"",IF(E443="USD",F443,F443/Settings!$B$6))</f>
        <v/>
      </c>
      <c r="I443" s="20" t="str">
        <f aca="false">IF(A443="","",DATE(YEAR(A443),MONTH(A443),1))</f>
        <v/>
      </c>
    </row>
    <row r="444" customFormat="false" ht="15" hidden="false" customHeight="false" outlineLevel="0" collapsed="false">
      <c r="A444" s="15"/>
      <c r="B444" s="16"/>
      <c r="C444" s="16"/>
      <c r="D444" s="16"/>
      <c r="E444" s="16"/>
      <c r="F444" s="17"/>
      <c r="G444" s="18" t="str">
        <f aca="false">IF(OR(A444="",F444=""),"",IF(E444="USD",F444*Settings!$B$6,F444))</f>
        <v/>
      </c>
      <c r="H444" s="19" t="str">
        <f aca="false">IF(OR(A444="",F444=""),"",IF(E444="USD",F444,F444/Settings!$B$6))</f>
        <v/>
      </c>
      <c r="I444" s="20" t="str">
        <f aca="false">IF(A444="","",DATE(YEAR(A444),MONTH(A444),1))</f>
        <v/>
      </c>
    </row>
    <row r="445" customFormat="false" ht="15" hidden="false" customHeight="false" outlineLevel="0" collapsed="false">
      <c r="A445" s="15"/>
      <c r="B445" s="16"/>
      <c r="C445" s="16"/>
      <c r="D445" s="16"/>
      <c r="E445" s="16"/>
      <c r="F445" s="17"/>
      <c r="G445" s="18" t="str">
        <f aca="false">IF(OR(A445="",F445=""),"",IF(E445="USD",F445*Settings!$B$6,F445))</f>
        <v/>
      </c>
      <c r="H445" s="19" t="str">
        <f aca="false">IF(OR(A445="",F445=""),"",IF(E445="USD",F445,F445/Settings!$B$6))</f>
        <v/>
      </c>
      <c r="I445" s="20" t="str">
        <f aca="false">IF(A445="","",DATE(YEAR(A445),MONTH(A445),1))</f>
        <v/>
      </c>
    </row>
    <row r="446" customFormat="false" ht="15" hidden="false" customHeight="false" outlineLevel="0" collapsed="false">
      <c r="A446" s="15"/>
      <c r="B446" s="16"/>
      <c r="C446" s="16"/>
      <c r="D446" s="16"/>
      <c r="E446" s="16"/>
      <c r="F446" s="17"/>
      <c r="G446" s="18" t="str">
        <f aca="false">IF(OR(A446="",F446=""),"",IF(E446="USD",F446*Settings!$B$6,F446))</f>
        <v/>
      </c>
      <c r="H446" s="19" t="str">
        <f aca="false">IF(OR(A446="",F446=""),"",IF(E446="USD",F446,F446/Settings!$B$6))</f>
        <v/>
      </c>
      <c r="I446" s="20" t="str">
        <f aca="false">IF(A446="","",DATE(YEAR(A446),MONTH(A446),1))</f>
        <v/>
      </c>
    </row>
    <row r="447" customFormat="false" ht="15" hidden="false" customHeight="false" outlineLevel="0" collapsed="false">
      <c r="A447" s="15"/>
      <c r="B447" s="16"/>
      <c r="C447" s="16"/>
      <c r="D447" s="16"/>
      <c r="E447" s="16"/>
      <c r="F447" s="17"/>
      <c r="G447" s="18" t="str">
        <f aca="false">IF(OR(A447="",F447=""),"",IF(E447="USD",F447*Settings!$B$6,F447))</f>
        <v/>
      </c>
      <c r="H447" s="19" t="str">
        <f aca="false">IF(OR(A447="",F447=""),"",IF(E447="USD",F447,F447/Settings!$B$6))</f>
        <v/>
      </c>
      <c r="I447" s="20" t="str">
        <f aca="false">IF(A447="","",DATE(YEAR(A447),MONTH(A447),1))</f>
        <v/>
      </c>
    </row>
    <row r="448" customFormat="false" ht="15" hidden="false" customHeight="false" outlineLevel="0" collapsed="false">
      <c r="A448" s="15"/>
      <c r="B448" s="16"/>
      <c r="C448" s="16"/>
      <c r="D448" s="16"/>
      <c r="E448" s="16"/>
      <c r="F448" s="17"/>
      <c r="G448" s="18" t="str">
        <f aca="false">IF(OR(A448="",F448=""),"",IF(E448="USD",F448*Settings!$B$6,F448))</f>
        <v/>
      </c>
      <c r="H448" s="19" t="str">
        <f aca="false">IF(OR(A448="",F448=""),"",IF(E448="USD",F448,F448/Settings!$B$6))</f>
        <v/>
      </c>
      <c r="I448" s="20" t="str">
        <f aca="false">IF(A448="","",DATE(YEAR(A448),MONTH(A448),1))</f>
        <v/>
      </c>
    </row>
    <row r="449" customFormat="false" ht="15" hidden="false" customHeight="false" outlineLevel="0" collapsed="false">
      <c r="A449" s="15"/>
      <c r="B449" s="16"/>
      <c r="C449" s="16"/>
      <c r="D449" s="16"/>
      <c r="E449" s="16"/>
      <c r="F449" s="17"/>
      <c r="G449" s="18" t="str">
        <f aca="false">IF(OR(A449="",F449=""),"",IF(E449="USD",F449*Settings!$B$6,F449))</f>
        <v/>
      </c>
      <c r="H449" s="19" t="str">
        <f aca="false">IF(OR(A449="",F449=""),"",IF(E449="USD",F449,F449/Settings!$B$6))</f>
        <v/>
      </c>
      <c r="I449" s="20" t="str">
        <f aca="false">IF(A449="","",DATE(YEAR(A449),MONTH(A449),1))</f>
        <v/>
      </c>
    </row>
    <row r="450" customFormat="false" ht="15" hidden="false" customHeight="false" outlineLevel="0" collapsed="false">
      <c r="A450" s="15"/>
      <c r="B450" s="16"/>
      <c r="C450" s="16"/>
      <c r="D450" s="16"/>
      <c r="E450" s="16"/>
      <c r="F450" s="17"/>
      <c r="G450" s="18" t="str">
        <f aca="false">IF(OR(A450="",F450=""),"",IF(E450="USD",F450*Settings!$B$6,F450))</f>
        <v/>
      </c>
      <c r="H450" s="19" t="str">
        <f aca="false">IF(OR(A450="",F450=""),"",IF(E450="USD",F450,F450/Settings!$B$6))</f>
        <v/>
      </c>
      <c r="I450" s="20" t="str">
        <f aca="false">IF(A450="","",DATE(YEAR(A450),MONTH(A450),1))</f>
        <v/>
      </c>
    </row>
    <row r="451" customFormat="false" ht="15" hidden="false" customHeight="false" outlineLevel="0" collapsed="false">
      <c r="A451" s="15"/>
      <c r="B451" s="16"/>
      <c r="C451" s="16"/>
      <c r="D451" s="16"/>
      <c r="E451" s="16"/>
      <c r="F451" s="17"/>
      <c r="G451" s="18" t="str">
        <f aca="false">IF(OR(A451="",F451=""),"",IF(E451="USD",F451*Settings!$B$6,F451))</f>
        <v/>
      </c>
      <c r="H451" s="19" t="str">
        <f aca="false">IF(OR(A451="",F451=""),"",IF(E451="USD",F451,F451/Settings!$B$6))</f>
        <v/>
      </c>
      <c r="I451" s="20" t="str">
        <f aca="false">IF(A451="","",DATE(YEAR(A451),MONTH(A451),1))</f>
        <v/>
      </c>
    </row>
    <row r="452" customFormat="false" ht="15" hidden="false" customHeight="false" outlineLevel="0" collapsed="false">
      <c r="A452" s="15"/>
      <c r="B452" s="16"/>
      <c r="C452" s="16"/>
      <c r="D452" s="16"/>
      <c r="E452" s="16"/>
      <c r="F452" s="17"/>
      <c r="G452" s="18" t="str">
        <f aca="false">IF(OR(A452="",F452=""),"",IF(E452="USD",F452*Settings!$B$6,F452))</f>
        <v/>
      </c>
      <c r="H452" s="19" t="str">
        <f aca="false">IF(OR(A452="",F452=""),"",IF(E452="USD",F452,F452/Settings!$B$6))</f>
        <v/>
      </c>
      <c r="I452" s="20" t="str">
        <f aca="false">IF(A452="","",DATE(YEAR(A452),MONTH(A452),1))</f>
        <v/>
      </c>
    </row>
    <row r="453" customFormat="false" ht="15" hidden="false" customHeight="false" outlineLevel="0" collapsed="false">
      <c r="A453" s="15"/>
      <c r="B453" s="16"/>
      <c r="C453" s="16"/>
      <c r="D453" s="16"/>
      <c r="E453" s="16"/>
      <c r="F453" s="17"/>
      <c r="G453" s="18" t="str">
        <f aca="false">IF(OR(A453="",F453=""),"",IF(E453="USD",F453*Settings!$B$6,F453))</f>
        <v/>
      </c>
      <c r="H453" s="19" t="str">
        <f aca="false">IF(OR(A453="",F453=""),"",IF(E453="USD",F453,F453/Settings!$B$6))</f>
        <v/>
      </c>
      <c r="I453" s="20" t="str">
        <f aca="false">IF(A453="","",DATE(YEAR(A453),MONTH(A453),1))</f>
        <v/>
      </c>
    </row>
    <row r="454" customFormat="false" ht="15" hidden="false" customHeight="false" outlineLevel="0" collapsed="false">
      <c r="A454" s="15"/>
      <c r="B454" s="16"/>
      <c r="C454" s="16"/>
      <c r="D454" s="16"/>
      <c r="E454" s="16"/>
      <c r="F454" s="17"/>
      <c r="G454" s="18" t="str">
        <f aca="false">IF(OR(A454="",F454=""),"",IF(E454="USD",F454*Settings!$B$6,F454))</f>
        <v/>
      </c>
      <c r="H454" s="19" t="str">
        <f aca="false">IF(OR(A454="",F454=""),"",IF(E454="USD",F454,F454/Settings!$B$6))</f>
        <v/>
      </c>
      <c r="I454" s="20" t="str">
        <f aca="false">IF(A454="","",DATE(YEAR(A454),MONTH(A454),1))</f>
        <v/>
      </c>
    </row>
    <row r="455" customFormat="false" ht="15" hidden="false" customHeight="false" outlineLevel="0" collapsed="false">
      <c r="A455" s="15"/>
      <c r="B455" s="16"/>
      <c r="C455" s="16"/>
      <c r="D455" s="16"/>
      <c r="E455" s="16"/>
      <c r="F455" s="17"/>
      <c r="G455" s="18" t="str">
        <f aca="false">IF(OR(A455="",F455=""),"",IF(E455="USD",F455*Settings!$B$6,F455))</f>
        <v/>
      </c>
      <c r="H455" s="19" t="str">
        <f aca="false">IF(OR(A455="",F455=""),"",IF(E455="USD",F455,F455/Settings!$B$6))</f>
        <v/>
      </c>
      <c r="I455" s="20" t="str">
        <f aca="false">IF(A455="","",DATE(YEAR(A455),MONTH(A455),1))</f>
        <v/>
      </c>
    </row>
    <row r="456" customFormat="false" ht="15" hidden="false" customHeight="false" outlineLevel="0" collapsed="false">
      <c r="A456" s="15"/>
      <c r="B456" s="16"/>
      <c r="C456" s="16"/>
      <c r="D456" s="16"/>
      <c r="E456" s="16"/>
      <c r="F456" s="17"/>
      <c r="G456" s="18" t="str">
        <f aca="false">IF(OR(A456="",F456=""),"",IF(E456="USD",F456*Settings!$B$6,F456))</f>
        <v/>
      </c>
      <c r="H456" s="19" t="str">
        <f aca="false">IF(OR(A456="",F456=""),"",IF(E456="USD",F456,F456/Settings!$B$6))</f>
        <v/>
      </c>
      <c r="I456" s="20" t="str">
        <f aca="false">IF(A456="","",DATE(YEAR(A456),MONTH(A456),1))</f>
        <v/>
      </c>
    </row>
    <row r="457" customFormat="false" ht="15" hidden="false" customHeight="false" outlineLevel="0" collapsed="false">
      <c r="A457" s="15"/>
      <c r="B457" s="16"/>
      <c r="C457" s="16"/>
      <c r="D457" s="16"/>
      <c r="E457" s="16"/>
      <c r="F457" s="17"/>
      <c r="G457" s="18" t="str">
        <f aca="false">IF(OR(A457="",F457=""),"",IF(E457="USD",F457*Settings!$B$6,F457))</f>
        <v/>
      </c>
      <c r="H457" s="19" t="str">
        <f aca="false">IF(OR(A457="",F457=""),"",IF(E457="USD",F457,F457/Settings!$B$6))</f>
        <v/>
      </c>
      <c r="I457" s="20" t="str">
        <f aca="false">IF(A457="","",DATE(YEAR(A457),MONTH(A457),1))</f>
        <v/>
      </c>
    </row>
    <row r="458" customFormat="false" ht="15" hidden="false" customHeight="false" outlineLevel="0" collapsed="false">
      <c r="A458" s="15"/>
      <c r="B458" s="16"/>
      <c r="C458" s="16"/>
      <c r="D458" s="16"/>
      <c r="E458" s="16"/>
      <c r="F458" s="17"/>
      <c r="G458" s="18" t="str">
        <f aca="false">IF(OR(A458="",F458=""),"",IF(E458="USD",F458*Settings!$B$6,F458))</f>
        <v/>
      </c>
      <c r="H458" s="19" t="str">
        <f aca="false">IF(OR(A458="",F458=""),"",IF(E458="USD",F458,F458/Settings!$B$6))</f>
        <v/>
      </c>
      <c r="I458" s="20" t="str">
        <f aca="false">IF(A458="","",DATE(YEAR(A458),MONTH(A458),1))</f>
        <v/>
      </c>
    </row>
    <row r="459" customFormat="false" ht="15" hidden="false" customHeight="false" outlineLevel="0" collapsed="false">
      <c r="A459" s="15"/>
      <c r="B459" s="16"/>
      <c r="C459" s="16"/>
      <c r="D459" s="16"/>
      <c r="E459" s="16"/>
      <c r="F459" s="17"/>
      <c r="G459" s="18" t="str">
        <f aca="false">IF(OR(A459="",F459=""),"",IF(E459="USD",F459*Settings!$B$6,F459))</f>
        <v/>
      </c>
      <c r="H459" s="19" t="str">
        <f aca="false">IF(OR(A459="",F459=""),"",IF(E459="USD",F459,F459/Settings!$B$6))</f>
        <v/>
      </c>
      <c r="I459" s="20" t="str">
        <f aca="false">IF(A459="","",DATE(YEAR(A459),MONTH(A459),1))</f>
        <v/>
      </c>
    </row>
    <row r="460" customFormat="false" ht="15" hidden="false" customHeight="false" outlineLevel="0" collapsed="false">
      <c r="A460" s="15"/>
      <c r="B460" s="16"/>
      <c r="C460" s="16"/>
      <c r="D460" s="16"/>
      <c r="E460" s="16"/>
      <c r="F460" s="17"/>
      <c r="G460" s="18" t="str">
        <f aca="false">IF(OR(A460="",F460=""),"",IF(E460="USD",F460*Settings!$B$6,F460))</f>
        <v/>
      </c>
      <c r="H460" s="19" t="str">
        <f aca="false">IF(OR(A460="",F460=""),"",IF(E460="USD",F460,F460/Settings!$B$6))</f>
        <v/>
      </c>
      <c r="I460" s="20" t="str">
        <f aca="false">IF(A460="","",DATE(YEAR(A460),MONTH(A460),1))</f>
        <v/>
      </c>
    </row>
    <row r="461" customFormat="false" ht="15" hidden="false" customHeight="false" outlineLevel="0" collapsed="false">
      <c r="A461" s="15"/>
      <c r="B461" s="16"/>
      <c r="C461" s="16"/>
      <c r="D461" s="16"/>
      <c r="E461" s="16"/>
      <c r="F461" s="17"/>
      <c r="G461" s="18" t="str">
        <f aca="false">IF(OR(A461="",F461=""),"",IF(E461="USD",F461*Settings!$B$6,F461))</f>
        <v/>
      </c>
      <c r="H461" s="19" t="str">
        <f aca="false">IF(OR(A461="",F461=""),"",IF(E461="USD",F461,F461/Settings!$B$6))</f>
        <v/>
      </c>
      <c r="I461" s="20" t="str">
        <f aca="false">IF(A461="","",DATE(YEAR(A461),MONTH(A461),1))</f>
        <v/>
      </c>
    </row>
    <row r="462" customFormat="false" ht="15" hidden="false" customHeight="false" outlineLevel="0" collapsed="false">
      <c r="A462" s="15"/>
      <c r="B462" s="16"/>
      <c r="C462" s="16"/>
      <c r="D462" s="16"/>
      <c r="E462" s="16"/>
      <c r="F462" s="17"/>
      <c r="G462" s="18" t="str">
        <f aca="false">IF(OR(A462="",F462=""),"",IF(E462="USD",F462*Settings!$B$6,F462))</f>
        <v/>
      </c>
      <c r="H462" s="19" t="str">
        <f aca="false">IF(OR(A462="",F462=""),"",IF(E462="USD",F462,F462/Settings!$B$6))</f>
        <v/>
      </c>
      <c r="I462" s="20" t="str">
        <f aca="false">IF(A462="","",DATE(YEAR(A462),MONTH(A462),1))</f>
        <v/>
      </c>
    </row>
    <row r="463" customFormat="false" ht="15" hidden="false" customHeight="false" outlineLevel="0" collapsed="false">
      <c r="A463" s="15"/>
      <c r="B463" s="16"/>
      <c r="C463" s="16"/>
      <c r="D463" s="16"/>
      <c r="E463" s="16"/>
      <c r="F463" s="17"/>
      <c r="G463" s="18" t="str">
        <f aca="false">IF(OR(A463="",F463=""),"",IF(E463="USD",F463*Settings!$B$6,F463))</f>
        <v/>
      </c>
      <c r="H463" s="19" t="str">
        <f aca="false">IF(OR(A463="",F463=""),"",IF(E463="USD",F463,F463/Settings!$B$6))</f>
        <v/>
      </c>
      <c r="I463" s="20" t="str">
        <f aca="false">IF(A463="","",DATE(YEAR(A463),MONTH(A463),1))</f>
        <v/>
      </c>
    </row>
    <row r="464" customFormat="false" ht="15" hidden="false" customHeight="false" outlineLevel="0" collapsed="false">
      <c r="A464" s="15"/>
      <c r="B464" s="16"/>
      <c r="C464" s="16"/>
      <c r="D464" s="16"/>
      <c r="E464" s="16"/>
      <c r="F464" s="17"/>
      <c r="G464" s="18" t="str">
        <f aca="false">IF(OR(A464="",F464=""),"",IF(E464="USD",F464*Settings!$B$6,F464))</f>
        <v/>
      </c>
      <c r="H464" s="19" t="str">
        <f aca="false">IF(OR(A464="",F464=""),"",IF(E464="USD",F464,F464/Settings!$B$6))</f>
        <v/>
      </c>
      <c r="I464" s="20" t="str">
        <f aca="false">IF(A464="","",DATE(YEAR(A464),MONTH(A464),1))</f>
        <v/>
      </c>
    </row>
    <row r="465" customFormat="false" ht="15" hidden="false" customHeight="false" outlineLevel="0" collapsed="false">
      <c r="A465" s="15"/>
      <c r="B465" s="16"/>
      <c r="C465" s="16"/>
      <c r="D465" s="16"/>
      <c r="E465" s="16"/>
      <c r="F465" s="17"/>
      <c r="G465" s="18" t="str">
        <f aca="false">IF(OR(A465="",F465=""),"",IF(E465="USD",F465*Settings!$B$6,F465))</f>
        <v/>
      </c>
      <c r="H465" s="19" t="str">
        <f aca="false">IF(OR(A465="",F465=""),"",IF(E465="USD",F465,F465/Settings!$B$6))</f>
        <v/>
      </c>
      <c r="I465" s="20" t="str">
        <f aca="false">IF(A465="","",DATE(YEAR(A465),MONTH(A465),1))</f>
        <v/>
      </c>
    </row>
    <row r="466" customFormat="false" ht="15" hidden="false" customHeight="false" outlineLevel="0" collapsed="false">
      <c r="A466" s="15"/>
      <c r="B466" s="16"/>
      <c r="C466" s="16"/>
      <c r="D466" s="16"/>
      <c r="E466" s="16"/>
      <c r="F466" s="17"/>
      <c r="G466" s="18" t="str">
        <f aca="false">IF(OR(A466="",F466=""),"",IF(E466="USD",F466*Settings!$B$6,F466))</f>
        <v/>
      </c>
      <c r="H466" s="19" t="str">
        <f aca="false">IF(OR(A466="",F466=""),"",IF(E466="USD",F466,F466/Settings!$B$6))</f>
        <v/>
      </c>
      <c r="I466" s="20" t="str">
        <f aca="false">IF(A466="","",DATE(YEAR(A466),MONTH(A466),1))</f>
        <v/>
      </c>
    </row>
    <row r="467" customFormat="false" ht="15" hidden="false" customHeight="false" outlineLevel="0" collapsed="false">
      <c r="A467" s="15"/>
      <c r="B467" s="16"/>
      <c r="C467" s="16"/>
      <c r="D467" s="16"/>
      <c r="E467" s="16"/>
      <c r="F467" s="17"/>
      <c r="G467" s="18" t="str">
        <f aca="false">IF(OR(A467="",F467=""),"",IF(E467="USD",F467*Settings!$B$6,F467))</f>
        <v/>
      </c>
      <c r="H467" s="19" t="str">
        <f aca="false">IF(OR(A467="",F467=""),"",IF(E467="USD",F467,F467/Settings!$B$6))</f>
        <v/>
      </c>
      <c r="I467" s="20" t="str">
        <f aca="false">IF(A467="","",DATE(YEAR(A467),MONTH(A467),1))</f>
        <v/>
      </c>
    </row>
    <row r="468" customFormat="false" ht="15" hidden="false" customHeight="false" outlineLevel="0" collapsed="false">
      <c r="A468" s="15"/>
      <c r="B468" s="16"/>
      <c r="C468" s="16"/>
      <c r="D468" s="16"/>
      <c r="E468" s="16"/>
      <c r="F468" s="17"/>
      <c r="G468" s="18" t="str">
        <f aca="false">IF(OR(A468="",F468=""),"",IF(E468="USD",F468*Settings!$B$6,F468))</f>
        <v/>
      </c>
      <c r="H468" s="19" t="str">
        <f aca="false">IF(OR(A468="",F468=""),"",IF(E468="USD",F468,F468/Settings!$B$6))</f>
        <v/>
      </c>
      <c r="I468" s="20" t="str">
        <f aca="false">IF(A468="","",DATE(YEAR(A468),MONTH(A468),1))</f>
        <v/>
      </c>
    </row>
    <row r="469" customFormat="false" ht="15" hidden="false" customHeight="false" outlineLevel="0" collapsed="false">
      <c r="A469" s="15"/>
      <c r="B469" s="16"/>
      <c r="C469" s="16"/>
      <c r="D469" s="16"/>
      <c r="E469" s="16"/>
      <c r="F469" s="17"/>
      <c r="G469" s="18" t="str">
        <f aca="false">IF(OR(A469="",F469=""),"",IF(E469="USD",F469*Settings!$B$6,F469))</f>
        <v/>
      </c>
      <c r="H469" s="19" t="str">
        <f aca="false">IF(OR(A469="",F469=""),"",IF(E469="USD",F469,F469/Settings!$B$6))</f>
        <v/>
      </c>
      <c r="I469" s="20" t="str">
        <f aca="false">IF(A469="","",DATE(YEAR(A469),MONTH(A469),1))</f>
        <v/>
      </c>
    </row>
    <row r="470" customFormat="false" ht="15" hidden="false" customHeight="false" outlineLevel="0" collapsed="false">
      <c r="A470" s="15"/>
      <c r="B470" s="16"/>
      <c r="C470" s="16"/>
      <c r="D470" s="16"/>
      <c r="E470" s="16"/>
      <c r="F470" s="17"/>
      <c r="G470" s="18" t="str">
        <f aca="false">IF(OR(A470="",F470=""),"",IF(E470="USD",F470*Settings!$B$6,F470))</f>
        <v/>
      </c>
      <c r="H470" s="19" t="str">
        <f aca="false">IF(OR(A470="",F470=""),"",IF(E470="USD",F470,F470/Settings!$B$6))</f>
        <v/>
      </c>
      <c r="I470" s="20" t="str">
        <f aca="false">IF(A470="","",DATE(YEAR(A470),MONTH(A470),1))</f>
        <v/>
      </c>
    </row>
    <row r="471" customFormat="false" ht="15" hidden="false" customHeight="false" outlineLevel="0" collapsed="false">
      <c r="A471" s="15"/>
      <c r="B471" s="16"/>
      <c r="C471" s="16"/>
      <c r="D471" s="16"/>
      <c r="E471" s="16"/>
      <c r="F471" s="17"/>
      <c r="G471" s="18" t="str">
        <f aca="false">IF(OR(A471="",F471=""),"",IF(E471="USD",F471*Settings!$B$6,F471))</f>
        <v/>
      </c>
      <c r="H471" s="19" t="str">
        <f aca="false">IF(OR(A471="",F471=""),"",IF(E471="USD",F471,F471/Settings!$B$6))</f>
        <v/>
      </c>
      <c r="I471" s="20" t="str">
        <f aca="false">IF(A471="","",DATE(YEAR(A471),MONTH(A471),1))</f>
        <v/>
      </c>
    </row>
    <row r="472" customFormat="false" ht="15" hidden="false" customHeight="false" outlineLevel="0" collapsed="false">
      <c r="A472" s="15"/>
      <c r="B472" s="16"/>
      <c r="C472" s="16"/>
      <c r="D472" s="16"/>
      <c r="E472" s="16"/>
      <c r="F472" s="17"/>
      <c r="G472" s="18" t="str">
        <f aca="false">IF(OR(A472="",F472=""),"",IF(E472="USD",F472*Settings!$B$6,F472))</f>
        <v/>
      </c>
      <c r="H472" s="19" t="str">
        <f aca="false">IF(OR(A472="",F472=""),"",IF(E472="USD",F472,F472/Settings!$B$6))</f>
        <v/>
      </c>
      <c r="I472" s="20" t="str">
        <f aca="false">IF(A472="","",DATE(YEAR(A472),MONTH(A472),1))</f>
        <v/>
      </c>
    </row>
    <row r="473" customFormat="false" ht="15" hidden="false" customHeight="false" outlineLevel="0" collapsed="false">
      <c r="A473" s="15"/>
      <c r="B473" s="16"/>
      <c r="C473" s="16"/>
      <c r="D473" s="16"/>
      <c r="E473" s="16"/>
      <c r="F473" s="17"/>
      <c r="G473" s="18" t="str">
        <f aca="false">IF(OR(A473="",F473=""),"",IF(E473="USD",F473*Settings!$B$6,F473))</f>
        <v/>
      </c>
      <c r="H473" s="19" t="str">
        <f aca="false">IF(OR(A473="",F473=""),"",IF(E473="USD",F473,F473/Settings!$B$6))</f>
        <v/>
      </c>
      <c r="I473" s="20" t="str">
        <f aca="false">IF(A473="","",DATE(YEAR(A473),MONTH(A473),1))</f>
        <v/>
      </c>
    </row>
    <row r="474" customFormat="false" ht="15" hidden="false" customHeight="false" outlineLevel="0" collapsed="false">
      <c r="A474" s="15"/>
      <c r="B474" s="16"/>
      <c r="C474" s="16"/>
      <c r="D474" s="16"/>
      <c r="E474" s="16"/>
      <c r="F474" s="17"/>
      <c r="G474" s="18" t="str">
        <f aca="false">IF(OR(A474="",F474=""),"",IF(E474="USD",F474*Settings!$B$6,F474))</f>
        <v/>
      </c>
      <c r="H474" s="19" t="str">
        <f aca="false">IF(OR(A474="",F474=""),"",IF(E474="USD",F474,F474/Settings!$B$6))</f>
        <v/>
      </c>
      <c r="I474" s="20" t="str">
        <f aca="false">IF(A474="","",DATE(YEAR(A474),MONTH(A474),1))</f>
        <v/>
      </c>
    </row>
    <row r="475" customFormat="false" ht="15" hidden="false" customHeight="false" outlineLevel="0" collapsed="false">
      <c r="A475" s="15"/>
      <c r="B475" s="16"/>
      <c r="C475" s="16"/>
      <c r="D475" s="16"/>
      <c r="E475" s="16"/>
      <c r="F475" s="17"/>
      <c r="G475" s="18" t="str">
        <f aca="false">IF(OR(A475="",F475=""),"",IF(E475="USD",F475*Settings!$B$6,F475))</f>
        <v/>
      </c>
      <c r="H475" s="19" t="str">
        <f aca="false">IF(OR(A475="",F475=""),"",IF(E475="USD",F475,F475/Settings!$B$6))</f>
        <v/>
      </c>
      <c r="I475" s="20" t="str">
        <f aca="false">IF(A475="","",DATE(YEAR(A475),MONTH(A475),1))</f>
        <v/>
      </c>
    </row>
    <row r="476" customFormat="false" ht="15" hidden="false" customHeight="false" outlineLevel="0" collapsed="false">
      <c r="A476" s="15"/>
      <c r="B476" s="16"/>
      <c r="C476" s="16"/>
      <c r="D476" s="16"/>
      <c r="E476" s="16"/>
      <c r="F476" s="17"/>
      <c r="G476" s="18" t="str">
        <f aca="false">IF(OR(A476="",F476=""),"",IF(E476="USD",F476*Settings!$B$6,F476))</f>
        <v/>
      </c>
      <c r="H476" s="19" t="str">
        <f aca="false">IF(OR(A476="",F476=""),"",IF(E476="USD",F476,F476/Settings!$B$6))</f>
        <v/>
      </c>
      <c r="I476" s="20" t="str">
        <f aca="false">IF(A476="","",DATE(YEAR(A476),MONTH(A476),1))</f>
        <v/>
      </c>
    </row>
    <row r="477" customFormat="false" ht="15" hidden="false" customHeight="false" outlineLevel="0" collapsed="false">
      <c r="A477" s="15"/>
      <c r="B477" s="16"/>
      <c r="C477" s="16"/>
      <c r="D477" s="16"/>
      <c r="E477" s="16"/>
      <c r="F477" s="17"/>
      <c r="G477" s="18" t="str">
        <f aca="false">IF(OR(A477="",F477=""),"",IF(E477="USD",F477*Settings!$B$6,F477))</f>
        <v/>
      </c>
      <c r="H477" s="19" t="str">
        <f aca="false">IF(OR(A477="",F477=""),"",IF(E477="USD",F477,F477/Settings!$B$6))</f>
        <v/>
      </c>
      <c r="I477" s="20" t="str">
        <f aca="false">IF(A477="","",DATE(YEAR(A477),MONTH(A477),1))</f>
        <v/>
      </c>
    </row>
    <row r="478" customFormat="false" ht="15" hidden="false" customHeight="false" outlineLevel="0" collapsed="false">
      <c r="A478" s="15"/>
      <c r="B478" s="16"/>
      <c r="C478" s="16"/>
      <c r="D478" s="16"/>
      <c r="E478" s="16"/>
      <c r="F478" s="17"/>
      <c r="G478" s="18" t="str">
        <f aca="false">IF(OR(A478="",F478=""),"",IF(E478="USD",F478*Settings!$B$6,F478))</f>
        <v/>
      </c>
      <c r="H478" s="19" t="str">
        <f aca="false">IF(OR(A478="",F478=""),"",IF(E478="USD",F478,F478/Settings!$B$6))</f>
        <v/>
      </c>
      <c r="I478" s="20" t="str">
        <f aca="false">IF(A478="","",DATE(YEAR(A478),MONTH(A478),1))</f>
        <v/>
      </c>
    </row>
    <row r="479" customFormat="false" ht="15" hidden="false" customHeight="false" outlineLevel="0" collapsed="false">
      <c r="A479" s="15"/>
      <c r="B479" s="16"/>
      <c r="C479" s="16"/>
      <c r="D479" s="16"/>
      <c r="E479" s="16"/>
      <c r="F479" s="17"/>
      <c r="G479" s="18" t="str">
        <f aca="false">IF(OR(A479="",F479=""),"",IF(E479="USD",F479*Settings!$B$6,F479))</f>
        <v/>
      </c>
      <c r="H479" s="19" t="str">
        <f aca="false">IF(OR(A479="",F479=""),"",IF(E479="USD",F479,F479/Settings!$B$6))</f>
        <v/>
      </c>
      <c r="I479" s="20" t="str">
        <f aca="false">IF(A479="","",DATE(YEAR(A479),MONTH(A479),1))</f>
        <v/>
      </c>
    </row>
    <row r="480" customFormat="false" ht="15" hidden="false" customHeight="false" outlineLevel="0" collapsed="false">
      <c r="A480" s="15"/>
      <c r="B480" s="16"/>
      <c r="C480" s="16"/>
      <c r="D480" s="16"/>
      <c r="E480" s="16"/>
      <c r="F480" s="17"/>
      <c r="G480" s="18" t="str">
        <f aca="false">IF(OR(A480="",F480=""),"",IF(E480="USD",F480*Settings!$B$6,F480))</f>
        <v/>
      </c>
      <c r="H480" s="19" t="str">
        <f aca="false">IF(OR(A480="",F480=""),"",IF(E480="USD",F480,F480/Settings!$B$6))</f>
        <v/>
      </c>
      <c r="I480" s="20" t="str">
        <f aca="false">IF(A480="","",DATE(YEAR(A480),MONTH(A480),1))</f>
        <v/>
      </c>
    </row>
    <row r="481" customFormat="false" ht="15" hidden="false" customHeight="false" outlineLevel="0" collapsed="false">
      <c r="A481" s="15"/>
      <c r="B481" s="16"/>
      <c r="C481" s="16"/>
      <c r="D481" s="16"/>
      <c r="E481" s="16"/>
      <c r="F481" s="17"/>
      <c r="G481" s="18" t="str">
        <f aca="false">IF(OR(A481="",F481=""),"",IF(E481="USD",F481*Settings!$B$6,F481))</f>
        <v/>
      </c>
      <c r="H481" s="19" t="str">
        <f aca="false">IF(OR(A481="",F481=""),"",IF(E481="USD",F481,F481/Settings!$B$6))</f>
        <v/>
      </c>
      <c r="I481" s="20" t="str">
        <f aca="false">IF(A481="","",DATE(YEAR(A481),MONTH(A481),1))</f>
        <v/>
      </c>
    </row>
    <row r="482" customFormat="false" ht="15" hidden="false" customHeight="false" outlineLevel="0" collapsed="false">
      <c r="A482" s="15"/>
      <c r="B482" s="16"/>
      <c r="C482" s="16"/>
      <c r="D482" s="16"/>
      <c r="E482" s="16"/>
      <c r="F482" s="17"/>
      <c r="G482" s="18" t="str">
        <f aca="false">IF(OR(A482="",F482=""),"",IF(E482="USD",F482*Settings!$B$6,F482))</f>
        <v/>
      </c>
      <c r="H482" s="19" t="str">
        <f aca="false">IF(OR(A482="",F482=""),"",IF(E482="USD",F482,F482/Settings!$B$6))</f>
        <v/>
      </c>
      <c r="I482" s="20" t="str">
        <f aca="false">IF(A482="","",DATE(YEAR(A482),MONTH(A482),1))</f>
        <v/>
      </c>
    </row>
    <row r="483" customFormat="false" ht="15" hidden="false" customHeight="false" outlineLevel="0" collapsed="false">
      <c r="A483" s="15"/>
      <c r="B483" s="16"/>
      <c r="C483" s="16"/>
      <c r="D483" s="16"/>
      <c r="E483" s="16"/>
      <c r="F483" s="17"/>
      <c r="G483" s="18" t="str">
        <f aca="false">IF(OR(A483="",F483=""),"",IF(E483="USD",F483*Settings!$B$6,F483))</f>
        <v/>
      </c>
      <c r="H483" s="19" t="str">
        <f aca="false">IF(OR(A483="",F483=""),"",IF(E483="USD",F483,F483/Settings!$B$6))</f>
        <v/>
      </c>
      <c r="I483" s="20" t="str">
        <f aca="false">IF(A483="","",DATE(YEAR(A483),MONTH(A483),1))</f>
        <v/>
      </c>
    </row>
    <row r="484" customFormat="false" ht="15" hidden="false" customHeight="false" outlineLevel="0" collapsed="false">
      <c r="A484" s="15"/>
      <c r="B484" s="16"/>
      <c r="C484" s="16"/>
      <c r="D484" s="16"/>
      <c r="E484" s="16"/>
      <c r="F484" s="17"/>
      <c r="G484" s="18" t="str">
        <f aca="false">IF(OR(A484="",F484=""),"",IF(E484="USD",F484*Settings!$B$6,F484))</f>
        <v/>
      </c>
      <c r="H484" s="19" t="str">
        <f aca="false">IF(OR(A484="",F484=""),"",IF(E484="USD",F484,F484/Settings!$B$6))</f>
        <v/>
      </c>
      <c r="I484" s="20" t="str">
        <f aca="false">IF(A484="","",DATE(YEAR(A484),MONTH(A484),1))</f>
        <v/>
      </c>
    </row>
    <row r="485" customFormat="false" ht="15" hidden="false" customHeight="false" outlineLevel="0" collapsed="false">
      <c r="A485" s="15"/>
      <c r="B485" s="16"/>
      <c r="C485" s="16"/>
      <c r="D485" s="16"/>
      <c r="E485" s="16"/>
      <c r="F485" s="17"/>
      <c r="G485" s="18" t="str">
        <f aca="false">IF(OR(A485="",F485=""),"",IF(E485="USD",F485*Settings!$B$6,F485))</f>
        <v/>
      </c>
      <c r="H485" s="19" t="str">
        <f aca="false">IF(OR(A485="",F485=""),"",IF(E485="USD",F485,F485/Settings!$B$6))</f>
        <v/>
      </c>
      <c r="I485" s="20" t="str">
        <f aca="false">IF(A485="","",DATE(YEAR(A485),MONTH(A485),1))</f>
        <v/>
      </c>
    </row>
    <row r="486" customFormat="false" ht="15" hidden="false" customHeight="false" outlineLevel="0" collapsed="false">
      <c r="A486" s="15"/>
      <c r="B486" s="16"/>
      <c r="C486" s="16"/>
      <c r="D486" s="16"/>
      <c r="E486" s="16"/>
      <c r="F486" s="17"/>
      <c r="G486" s="18" t="str">
        <f aca="false">IF(OR(A486="",F486=""),"",IF(E486="USD",F486*Settings!$B$6,F486))</f>
        <v/>
      </c>
      <c r="H486" s="19" t="str">
        <f aca="false">IF(OR(A486="",F486=""),"",IF(E486="USD",F486,F486/Settings!$B$6))</f>
        <v/>
      </c>
      <c r="I486" s="20" t="str">
        <f aca="false">IF(A486="","",DATE(YEAR(A486),MONTH(A486),1))</f>
        <v/>
      </c>
    </row>
    <row r="487" customFormat="false" ht="15" hidden="false" customHeight="false" outlineLevel="0" collapsed="false">
      <c r="A487" s="15"/>
      <c r="B487" s="16"/>
      <c r="C487" s="16"/>
      <c r="D487" s="16"/>
      <c r="E487" s="16"/>
      <c r="F487" s="17"/>
      <c r="G487" s="18" t="str">
        <f aca="false">IF(OR(A487="",F487=""),"",IF(E487="USD",F487*Settings!$B$6,F487))</f>
        <v/>
      </c>
      <c r="H487" s="19" t="str">
        <f aca="false">IF(OR(A487="",F487=""),"",IF(E487="USD",F487,F487/Settings!$B$6))</f>
        <v/>
      </c>
      <c r="I487" s="20" t="str">
        <f aca="false">IF(A487="","",DATE(YEAR(A487),MONTH(A487),1))</f>
        <v/>
      </c>
    </row>
    <row r="488" customFormat="false" ht="15" hidden="false" customHeight="false" outlineLevel="0" collapsed="false">
      <c r="A488" s="15"/>
      <c r="B488" s="16"/>
      <c r="C488" s="16"/>
      <c r="D488" s="16"/>
      <c r="E488" s="16"/>
      <c r="F488" s="17"/>
      <c r="G488" s="18" t="str">
        <f aca="false">IF(OR(A488="",F488=""),"",IF(E488="USD",F488*Settings!$B$6,F488))</f>
        <v/>
      </c>
      <c r="H488" s="19" t="str">
        <f aca="false">IF(OR(A488="",F488=""),"",IF(E488="USD",F488,F488/Settings!$B$6))</f>
        <v/>
      </c>
      <c r="I488" s="20" t="str">
        <f aca="false">IF(A488="","",DATE(YEAR(A488),MONTH(A488),1))</f>
        <v/>
      </c>
    </row>
    <row r="489" customFormat="false" ht="15" hidden="false" customHeight="false" outlineLevel="0" collapsed="false">
      <c r="A489" s="15"/>
      <c r="B489" s="16"/>
      <c r="C489" s="16"/>
      <c r="D489" s="16"/>
      <c r="E489" s="16"/>
      <c r="F489" s="17"/>
      <c r="G489" s="18" t="str">
        <f aca="false">IF(OR(A489="",F489=""),"",IF(E489="USD",F489*Settings!$B$6,F489))</f>
        <v/>
      </c>
      <c r="H489" s="19" t="str">
        <f aca="false">IF(OR(A489="",F489=""),"",IF(E489="USD",F489,F489/Settings!$B$6))</f>
        <v/>
      </c>
      <c r="I489" s="20" t="str">
        <f aca="false">IF(A489="","",DATE(YEAR(A489),MONTH(A489),1))</f>
        <v/>
      </c>
    </row>
    <row r="490" customFormat="false" ht="15" hidden="false" customHeight="false" outlineLevel="0" collapsed="false">
      <c r="A490" s="15"/>
      <c r="B490" s="16"/>
      <c r="C490" s="16"/>
      <c r="D490" s="16"/>
      <c r="E490" s="16"/>
      <c r="F490" s="17"/>
      <c r="G490" s="18" t="str">
        <f aca="false">IF(OR(A490="",F490=""),"",IF(E490="USD",F490*Settings!$B$6,F490))</f>
        <v/>
      </c>
      <c r="H490" s="19" t="str">
        <f aca="false">IF(OR(A490="",F490=""),"",IF(E490="USD",F490,F490/Settings!$B$6))</f>
        <v/>
      </c>
      <c r="I490" s="20" t="str">
        <f aca="false">IF(A490="","",DATE(YEAR(A490),MONTH(A490),1))</f>
        <v/>
      </c>
    </row>
    <row r="491" customFormat="false" ht="15" hidden="false" customHeight="false" outlineLevel="0" collapsed="false">
      <c r="A491" s="15"/>
      <c r="B491" s="16"/>
      <c r="C491" s="16"/>
      <c r="D491" s="16"/>
      <c r="E491" s="16"/>
      <c r="F491" s="17"/>
      <c r="G491" s="18" t="str">
        <f aca="false">IF(OR(A491="",F491=""),"",IF(E491="USD",F491*Settings!$B$6,F491))</f>
        <v/>
      </c>
      <c r="H491" s="19" t="str">
        <f aca="false">IF(OR(A491="",F491=""),"",IF(E491="USD",F491,F491/Settings!$B$6))</f>
        <v/>
      </c>
      <c r="I491" s="20" t="str">
        <f aca="false">IF(A491="","",DATE(YEAR(A491),MONTH(A491),1))</f>
        <v/>
      </c>
    </row>
    <row r="492" customFormat="false" ht="15" hidden="false" customHeight="false" outlineLevel="0" collapsed="false">
      <c r="A492" s="15"/>
      <c r="B492" s="16"/>
      <c r="C492" s="16"/>
      <c r="D492" s="16"/>
      <c r="E492" s="16"/>
      <c r="F492" s="17"/>
      <c r="G492" s="18" t="str">
        <f aca="false">IF(OR(A492="",F492=""),"",IF(E492="USD",F492*Settings!$B$6,F492))</f>
        <v/>
      </c>
      <c r="H492" s="19" t="str">
        <f aca="false">IF(OR(A492="",F492=""),"",IF(E492="USD",F492,F492/Settings!$B$6))</f>
        <v/>
      </c>
      <c r="I492" s="20" t="str">
        <f aca="false">IF(A492="","",DATE(YEAR(A492),MONTH(A492),1))</f>
        <v/>
      </c>
    </row>
    <row r="493" customFormat="false" ht="15" hidden="false" customHeight="false" outlineLevel="0" collapsed="false">
      <c r="A493" s="15"/>
      <c r="B493" s="16"/>
      <c r="C493" s="16"/>
      <c r="D493" s="16"/>
      <c r="E493" s="16"/>
      <c r="F493" s="17"/>
      <c r="G493" s="18" t="str">
        <f aca="false">IF(OR(A493="",F493=""),"",IF(E493="USD",F493*Settings!$B$6,F493))</f>
        <v/>
      </c>
      <c r="H493" s="19" t="str">
        <f aca="false">IF(OR(A493="",F493=""),"",IF(E493="USD",F493,F493/Settings!$B$6))</f>
        <v/>
      </c>
      <c r="I493" s="20" t="str">
        <f aca="false">IF(A493="","",DATE(YEAR(A493),MONTH(A493),1))</f>
        <v/>
      </c>
    </row>
    <row r="494" customFormat="false" ht="15" hidden="false" customHeight="false" outlineLevel="0" collapsed="false">
      <c r="A494" s="15"/>
      <c r="B494" s="16"/>
      <c r="C494" s="16"/>
      <c r="D494" s="16"/>
      <c r="E494" s="16"/>
      <c r="F494" s="17"/>
      <c r="G494" s="18" t="str">
        <f aca="false">IF(OR(A494="",F494=""),"",IF(E494="USD",F494*Settings!$B$6,F494))</f>
        <v/>
      </c>
      <c r="H494" s="19" t="str">
        <f aca="false">IF(OR(A494="",F494=""),"",IF(E494="USD",F494,F494/Settings!$B$6))</f>
        <v/>
      </c>
      <c r="I494" s="20" t="str">
        <f aca="false">IF(A494="","",DATE(YEAR(A494),MONTH(A494),1))</f>
        <v/>
      </c>
    </row>
    <row r="495" customFormat="false" ht="15" hidden="false" customHeight="false" outlineLevel="0" collapsed="false">
      <c r="A495" s="15"/>
      <c r="B495" s="16"/>
      <c r="C495" s="16"/>
      <c r="D495" s="16"/>
      <c r="E495" s="16"/>
      <c r="F495" s="17"/>
      <c r="G495" s="18" t="str">
        <f aca="false">IF(OR(A495="",F495=""),"",IF(E495="USD",F495*Settings!$B$6,F495))</f>
        <v/>
      </c>
      <c r="H495" s="19" t="str">
        <f aca="false">IF(OR(A495="",F495=""),"",IF(E495="USD",F495,F495/Settings!$B$6))</f>
        <v/>
      </c>
      <c r="I495" s="20" t="str">
        <f aca="false">IF(A495="","",DATE(YEAR(A495),MONTH(A495),1))</f>
        <v/>
      </c>
    </row>
    <row r="496" customFormat="false" ht="15" hidden="false" customHeight="false" outlineLevel="0" collapsed="false">
      <c r="A496" s="15"/>
      <c r="B496" s="16"/>
      <c r="C496" s="16"/>
      <c r="D496" s="16"/>
      <c r="E496" s="16"/>
      <c r="F496" s="17"/>
      <c r="G496" s="18" t="str">
        <f aca="false">IF(OR(A496="",F496=""),"",IF(E496="USD",F496*Settings!$B$6,F496))</f>
        <v/>
      </c>
      <c r="H496" s="19" t="str">
        <f aca="false">IF(OR(A496="",F496=""),"",IF(E496="USD",F496,F496/Settings!$B$6))</f>
        <v/>
      </c>
      <c r="I496" s="20" t="str">
        <f aca="false">IF(A496="","",DATE(YEAR(A496),MONTH(A496),1))</f>
        <v/>
      </c>
    </row>
    <row r="497" customFormat="false" ht="15" hidden="false" customHeight="false" outlineLevel="0" collapsed="false">
      <c r="A497" s="15"/>
      <c r="B497" s="16"/>
      <c r="C497" s="16"/>
      <c r="D497" s="16"/>
      <c r="E497" s="16"/>
      <c r="F497" s="17"/>
      <c r="G497" s="18" t="str">
        <f aca="false">IF(OR(A497="",F497=""),"",IF(E497="USD",F497*Settings!$B$6,F497))</f>
        <v/>
      </c>
      <c r="H497" s="19" t="str">
        <f aca="false">IF(OR(A497="",F497=""),"",IF(E497="USD",F497,F497/Settings!$B$6))</f>
        <v/>
      </c>
      <c r="I497" s="20" t="str">
        <f aca="false">IF(A497="","",DATE(YEAR(A497),MONTH(A497),1))</f>
        <v/>
      </c>
    </row>
    <row r="498" customFormat="false" ht="15" hidden="false" customHeight="false" outlineLevel="0" collapsed="false">
      <c r="A498" s="15"/>
      <c r="B498" s="16"/>
      <c r="C498" s="16"/>
      <c r="D498" s="16"/>
      <c r="E498" s="16"/>
      <c r="F498" s="17"/>
      <c r="G498" s="18" t="str">
        <f aca="false">IF(OR(A498="",F498=""),"",IF(E498="USD",F498*Settings!$B$6,F498))</f>
        <v/>
      </c>
      <c r="H498" s="19" t="str">
        <f aca="false">IF(OR(A498="",F498=""),"",IF(E498="USD",F498,F498/Settings!$B$6))</f>
        <v/>
      </c>
      <c r="I498" s="20" t="str">
        <f aca="false">IF(A498="","",DATE(YEAR(A498),MONTH(A498),1))</f>
        <v/>
      </c>
    </row>
    <row r="499" customFormat="false" ht="15" hidden="false" customHeight="false" outlineLevel="0" collapsed="false">
      <c r="A499" s="15"/>
      <c r="B499" s="16"/>
      <c r="C499" s="16"/>
      <c r="D499" s="16"/>
      <c r="E499" s="16"/>
      <c r="F499" s="17"/>
      <c r="G499" s="18" t="str">
        <f aca="false">IF(OR(A499="",F499=""),"",IF(E499="USD",F499*Settings!$B$6,F499))</f>
        <v/>
      </c>
      <c r="H499" s="19" t="str">
        <f aca="false">IF(OR(A499="",F499=""),"",IF(E499="USD",F499,F499/Settings!$B$6))</f>
        <v/>
      </c>
      <c r="I499" s="20" t="str">
        <f aca="false">IF(A499="","",DATE(YEAR(A499),MONTH(A499),1))</f>
        <v/>
      </c>
    </row>
    <row r="500" customFormat="false" ht="15" hidden="false" customHeight="false" outlineLevel="0" collapsed="false">
      <c r="A500" s="15"/>
      <c r="B500" s="16"/>
      <c r="C500" s="16"/>
      <c r="D500" s="16"/>
      <c r="E500" s="16"/>
      <c r="F500" s="17"/>
      <c r="G500" s="18" t="str">
        <f aca="false">IF(OR(A500="",F500=""),"",IF(E500="USD",F500*Settings!$B$6,F500))</f>
        <v/>
      </c>
      <c r="H500" s="19" t="str">
        <f aca="false">IF(OR(A500="",F500=""),"",IF(E500="USD",F500,F500/Settings!$B$6))</f>
        <v/>
      </c>
      <c r="I500" s="20" t="str">
        <f aca="false">IF(A500="","",DATE(YEAR(A500),MONTH(A500),1))</f>
        <v/>
      </c>
    </row>
    <row r="501" customFormat="false" ht="15" hidden="false" customHeight="false" outlineLevel="0" collapsed="false">
      <c r="A501" s="15"/>
      <c r="B501" s="16"/>
      <c r="C501" s="16"/>
      <c r="D501" s="16"/>
      <c r="E501" s="16"/>
      <c r="F501" s="17"/>
      <c r="G501" s="18" t="str">
        <f aca="false">IF(OR(A501="",F501=""),"",IF(E501="USD",F501*Settings!$B$6,F501))</f>
        <v/>
      </c>
      <c r="H501" s="19" t="str">
        <f aca="false">IF(OR(A501="",F501=""),"",IF(E501="USD",F501,F501/Settings!$B$6))</f>
        <v/>
      </c>
      <c r="I501" s="20" t="str">
        <f aca="false">IF(A501="","",DATE(YEAR(A501),MONTH(A501),1))</f>
        <v/>
      </c>
    </row>
    <row r="502" customFormat="false" ht="15" hidden="false" customHeight="false" outlineLevel="0" collapsed="false">
      <c r="A502" s="15"/>
      <c r="B502" s="16"/>
      <c r="C502" s="16"/>
      <c r="D502" s="16"/>
      <c r="E502" s="16"/>
      <c r="F502" s="17"/>
      <c r="G502" s="18" t="str">
        <f aca="false">IF(OR(A502="",F502=""),"",IF(E502="USD",F502*Settings!$B$6,F502))</f>
        <v/>
      </c>
      <c r="H502" s="19" t="str">
        <f aca="false">IF(OR(A502="",F502=""),"",IF(E502="USD",F502,F502/Settings!$B$6))</f>
        <v/>
      </c>
      <c r="I502" s="20" t="str">
        <f aca="false">IF(A502="","",DATE(YEAR(A502),MONTH(A502),1))</f>
        <v/>
      </c>
    </row>
    <row r="503" customFormat="false" ht="15" hidden="false" customHeight="false" outlineLevel="0" collapsed="false">
      <c r="A503" s="15"/>
      <c r="B503" s="16"/>
      <c r="C503" s="16"/>
      <c r="D503" s="16"/>
      <c r="E503" s="16"/>
      <c r="F503" s="17"/>
      <c r="G503" s="18" t="str">
        <f aca="false">IF(OR(A503="",F503=""),"",IF(E503="USD",F503*Settings!$B$6,F503))</f>
        <v/>
      </c>
      <c r="H503" s="19" t="str">
        <f aca="false">IF(OR(A503="",F503=""),"",IF(E503="USD",F503,F503/Settings!$B$6))</f>
        <v/>
      </c>
      <c r="I503" s="20" t="str">
        <f aca="false">IF(A503="","",DATE(YEAR(A503),MONTH(A503),1))</f>
        <v/>
      </c>
    </row>
    <row r="504" customFormat="false" ht="15" hidden="false" customHeight="false" outlineLevel="0" collapsed="false">
      <c r="A504" s="15"/>
      <c r="B504" s="16"/>
      <c r="C504" s="16"/>
      <c r="D504" s="16"/>
      <c r="E504" s="16"/>
      <c r="F504" s="17"/>
      <c r="G504" s="18" t="str">
        <f aca="false">IF(OR(A504="",F504=""),"",IF(E504="USD",F504*Settings!$B$6,F504))</f>
        <v/>
      </c>
      <c r="H504" s="19" t="str">
        <f aca="false">IF(OR(A504="",F504=""),"",IF(E504="USD",F504,F504/Settings!$B$6))</f>
        <v/>
      </c>
      <c r="I504" s="20" t="str">
        <f aca="false">IF(A504="","",DATE(YEAR(A504),MONTH(A504),1))</f>
        <v/>
      </c>
    </row>
  </sheetData>
  <dataValidations count="3">
    <dataValidation allowBlank="false" errorStyle="stop" operator="between" showDropDown="false" showErrorMessage="false" showInputMessage="false" sqref="C5:C504" type="list">
      <formula1>"Income,Expense"</formula1>
      <formula2>0</formula2>
    </dataValidation>
    <dataValidation allowBlank="false" errorStyle="stop" operator="between" showDropDown="false" showErrorMessage="false" showInputMessage="false" sqref="D5:D504" type="list">
      <formula1>Settings!$D$4:$D$18</formula1>
      <formula2>0</formula2>
    </dataValidation>
    <dataValidation allowBlank="false" errorStyle="stop" operator="between" showDropDown="false" showErrorMessage="false" showInputMessage="false" sqref="E5:E504" type="list">
      <formula1>"GNF,USD"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6"/>
    <col collapsed="false" customWidth="true" hidden="false" outlineLevel="0" max="6" min="6" style="0" width="3"/>
    <col collapsed="false" customWidth="true" hidden="false" outlineLevel="0" max="7" min="7" style="0" width="36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67</v>
      </c>
    </row>
    <row r="2" customFormat="false" ht="15" hidden="false" customHeight="false" outlineLevel="0" collapsed="false">
      <c r="A2" s="21" t="str">
        <f aca="false">Settings!B3&amp;"  |  "&amp;Settings!B4&amp;"  |  Amounts in "&amp;Settings!B5</f>
        <v>My Business  |  2026  |  Amounts in GNF</v>
      </c>
    </row>
    <row r="4" customFormat="false" ht="15" hidden="false" customHeight="false" outlineLevel="0" collapsed="false">
      <c r="A4" s="5" t="s">
        <v>68</v>
      </c>
      <c r="B4" s="22" t="n">
        <f aca="false">(Settings!B7+Settings!B8*Settings!B6)*Settings!B9</f>
        <v>6730000</v>
      </c>
    </row>
    <row r="5" customFormat="false" ht="15" hidden="false" customHeight="false" outlineLevel="0" collapsed="false">
      <c r="A5" s="5" t="s">
        <v>69</v>
      </c>
      <c r="B5" s="22" t="n">
        <f aca="false">SUM(B15:B26)</f>
        <v>54177500</v>
      </c>
    </row>
    <row r="6" customFormat="false" ht="15" hidden="false" customHeight="false" outlineLevel="0" collapsed="false">
      <c r="A6" s="5" t="s">
        <v>70</v>
      </c>
      <c r="B6" s="22" t="n">
        <f aca="false">SUM(C15:C26)</f>
        <v>15790000</v>
      </c>
    </row>
    <row r="7" customFormat="false" ht="15" hidden="false" customHeight="false" outlineLevel="0" collapsed="false">
      <c r="A7" s="5" t="s">
        <v>71</v>
      </c>
      <c r="B7" s="22" t="n">
        <f aca="false">B5-B6</f>
        <v>38387500</v>
      </c>
    </row>
    <row r="8" customFormat="false" ht="15" hidden="false" customHeight="false" outlineLevel="0" collapsed="false">
      <c r="A8" s="5" t="s">
        <v>72</v>
      </c>
      <c r="B8" s="22" t="n">
        <f aca="false">E26</f>
        <v>45117500</v>
      </c>
    </row>
    <row r="9" customFormat="false" ht="15" hidden="false" customHeight="false" outlineLevel="0" collapsed="false">
      <c r="A9" s="5" t="s">
        <v>73</v>
      </c>
      <c r="B9" s="22" t="n">
        <f aca="false">IF(COUNTIF(C15:C26,"&gt;0")=0,0,B6/COUNTIF(C15:C26,"&gt;0"))</f>
        <v>3947500</v>
      </c>
    </row>
    <row r="10" customFormat="false" ht="15" hidden="false" customHeight="false" outlineLevel="0" collapsed="false">
      <c r="A10" s="5" t="s">
        <v>74</v>
      </c>
      <c r="B10" s="23" t="n">
        <f aca="false">IF(B9=0,"n/a",B8/B9)</f>
        <v>11.4293856871438</v>
      </c>
    </row>
    <row r="13" customFormat="false" ht="15" hidden="false" customHeight="false" outlineLevel="0" collapsed="false">
      <c r="A13" s="2" t="s">
        <v>75</v>
      </c>
      <c r="G13" s="2" t="s">
        <v>76</v>
      </c>
    </row>
    <row r="14" customFormat="false" ht="15" hidden="false" customHeight="false" outlineLevel="0" collapsed="false">
      <c r="A14" s="24" t="s">
        <v>77</v>
      </c>
      <c r="B14" s="24" t="s">
        <v>22</v>
      </c>
      <c r="C14" s="24" t="s">
        <v>78</v>
      </c>
      <c r="D14" s="24" t="s">
        <v>79</v>
      </c>
      <c r="E14" s="24" t="s">
        <v>80</v>
      </c>
      <c r="G14" s="24" t="s">
        <v>81</v>
      </c>
      <c r="H14" s="24" t="s">
        <v>82</v>
      </c>
      <c r="I14" s="24" t="s">
        <v>83</v>
      </c>
    </row>
    <row r="15" customFormat="false" ht="15" hidden="false" customHeight="false" outlineLevel="0" collapsed="false">
      <c r="A15" s="25" t="n">
        <f aca="false">DATE(Settings!$B$4,1,1)</f>
        <v>46023</v>
      </c>
      <c r="B15" s="22" t="n">
        <f aca="false">SUMIFS(Transactions!$G$5:$G$504,Transactions!$I$5:$I$504,$A15,Transactions!$C$5:$C$504,"Income")*Settings!$B$9</f>
        <v>15892500</v>
      </c>
      <c r="C15" s="22" t="n">
        <f aca="false">SUMIFS(Transactions!$G$5:$G$504,Transactions!$I$5:$I$504,$A15,Transactions!$C$5:$C$504,"Expense")*Settings!$B$9</f>
        <v>7500000</v>
      </c>
      <c r="D15" s="22" t="n">
        <f aca="false">B15-C15</f>
        <v>8392500</v>
      </c>
      <c r="E15" s="22" t="n">
        <f aca="false">$B$4+D15</f>
        <v>15122500</v>
      </c>
      <c r="G15" s="26" t="str">
        <f aca="false">Settings!D9</f>
        <v>Rent / Loyer</v>
      </c>
      <c r="H15" s="22" t="n">
        <f aca="false">SUMIFS(Transactions!$G$5:$G$504,Transactions!$C$5:$C$504,"Expense",Transactions!$D$5:$D$504,G15,Transactions!$A$5:$A$504,"&gt;="&amp;DATE(Settings!$B$4,1,1),Transactions!$A$5:$A$504,"&lt;="&amp;DATE(Settings!$B$4,12,31))*Settings!$B$9</f>
        <v>3000000</v>
      </c>
      <c r="I15" s="27" t="n">
        <f aca="false">IF($H$25=0,0,H15/$H$25)</f>
        <v>0.189993666877771</v>
      </c>
    </row>
    <row r="16" customFormat="false" ht="15" hidden="false" customHeight="false" outlineLevel="0" collapsed="false">
      <c r="A16" s="25" t="n">
        <f aca="false">DATE(Settings!$B$4,2,1)</f>
        <v>46054</v>
      </c>
      <c r="B16" s="22" t="n">
        <f aca="false">SUMIFS(Transactions!$G$5:$G$504,Transactions!$I$5:$I$504,$A16,Transactions!$C$5:$C$504,"Income")*Settings!$B$9</f>
        <v>14500000</v>
      </c>
      <c r="C16" s="22" t="n">
        <f aca="false">SUMIFS(Transactions!$G$5:$G$504,Transactions!$I$5:$I$504,$A16,Transactions!$C$5:$C$504,"Expense")*Settings!$B$9</f>
        <v>5840000</v>
      </c>
      <c r="D16" s="22" t="n">
        <f aca="false">B16-C16</f>
        <v>8660000</v>
      </c>
      <c r="E16" s="22" t="n">
        <f aca="false">E15+D16</f>
        <v>23782500</v>
      </c>
      <c r="G16" s="26" t="str">
        <f aca="false">Settings!D10</f>
        <v>Salaries / Salaires</v>
      </c>
      <c r="H16" s="22" t="n">
        <f aca="false">SUMIFS(Transactions!$G$5:$G$504,Transactions!$C$5:$C$504,"Expense",Transactions!$D$5:$D$504,G16,Transactions!$A$5:$A$504,"&gt;="&amp;DATE(Settings!$B$4,1,1),Transactions!$A$5:$A$504,"&lt;="&amp;DATE(Settings!$B$4,12,31))*Settings!$B$9</f>
        <v>4500000</v>
      </c>
      <c r="I16" s="27" t="n">
        <f aca="false">IF($H$25=0,0,H16/$H$25)</f>
        <v>0.284990500316656</v>
      </c>
    </row>
    <row r="17" customFormat="false" ht="15" hidden="false" customHeight="false" outlineLevel="0" collapsed="false">
      <c r="A17" s="25" t="n">
        <f aca="false">DATE(Settings!$B$4,3,1)</f>
        <v>46082</v>
      </c>
      <c r="B17" s="22" t="n">
        <f aca="false">SUMIFS(Transactions!$G$5:$G$504,Transactions!$I$5:$I$504,$A17,Transactions!$C$5:$C$504,"Income")*Settings!$B$9</f>
        <v>16000000</v>
      </c>
      <c r="C17" s="22" t="n">
        <f aca="false">SUMIFS(Transactions!$G$5:$G$504,Transactions!$I$5:$I$504,$A17,Transactions!$C$5:$C$504,"Expense")*Settings!$B$9</f>
        <v>2000000</v>
      </c>
      <c r="D17" s="22" t="n">
        <f aca="false">B17-C17</f>
        <v>14000000</v>
      </c>
      <c r="E17" s="22" t="n">
        <f aca="false">E16+D17</f>
        <v>37782500</v>
      </c>
      <c r="G17" s="26" t="str">
        <f aca="false">Settings!D11</f>
        <v>Transport</v>
      </c>
      <c r="H17" s="22" t="n">
        <f aca="false">SUMIFS(Transactions!$G$5:$G$504,Transactions!$C$5:$C$504,"Expense",Transactions!$D$5:$D$504,G17,Transactions!$A$5:$A$504,"&gt;="&amp;DATE(Settings!$B$4,1,1),Transactions!$A$5:$A$504,"&lt;="&amp;DATE(Settings!$B$4,12,31))*Settings!$B$9</f>
        <v>450000</v>
      </c>
      <c r="I17" s="27" t="n">
        <f aca="false">IF($H$25=0,0,H17/$H$25)</f>
        <v>0.0284990500316656</v>
      </c>
    </row>
    <row r="18" customFormat="false" ht="15" hidden="false" customHeight="false" outlineLevel="0" collapsed="false">
      <c r="A18" s="25" t="n">
        <f aca="false">DATE(Settings!$B$4,4,1)</f>
        <v>46113</v>
      </c>
      <c r="B18" s="22" t="n">
        <f aca="false">SUMIFS(Transactions!$G$5:$G$504,Transactions!$I$5:$I$504,$A18,Transactions!$C$5:$C$504,"Income")*Settings!$B$9</f>
        <v>7785000</v>
      </c>
      <c r="C18" s="22" t="n">
        <f aca="false">SUMIFS(Transactions!$G$5:$G$504,Transactions!$I$5:$I$504,$A18,Transactions!$C$5:$C$504,"Expense")*Settings!$B$9</f>
        <v>450000</v>
      </c>
      <c r="D18" s="22" t="n">
        <f aca="false">B18-C18</f>
        <v>7335000</v>
      </c>
      <c r="E18" s="22" t="n">
        <f aca="false">E17+D18</f>
        <v>45117500</v>
      </c>
      <c r="G18" s="26" t="str">
        <f aca="false">Settings!D12</f>
        <v>Electricity &amp; Water / EDG &amp; SEG</v>
      </c>
      <c r="H18" s="22" t="n">
        <f aca="false">SUMIFS(Transactions!$G$5:$G$504,Transactions!$C$5:$C$504,"Expense",Transactions!$D$5:$D$504,G18,Transactions!$A$5:$A$504,"&gt;="&amp;DATE(Settings!$B$4,1,1),Transactions!$A$5:$A$504,"&lt;="&amp;DATE(Settings!$B$4,12,31))*Settings!$B$9</f>
        <v>650000</v>
      </c>
      <c r="I18" s="27" t="n">
        <f aca="false">IF($H$25=0,0,H18/$H$25)</f>
        <v>0.0411652944901837</v>
      </c>
    </row>
    <row r="19" customFormat="false" ht="15" hidden="false" customHeight="false" outlineLevel="0" collapsed="false">
      <c r="A19" s="25" t="n">
        <f aca="false">DATE(Settings!$B$4,5,1)</f>
        <v>46143</v>
      </c>
      <c r="B19" s="22" t="n">
        <f aca="false">SUMIFS(Transactions!$G$5:$G$504,Transactions!$I$5:$I$504,$A19,Transactions!$C$5:$C$504,"Income")*Settings!$B$9</f>
        <v>0</v>
      </c>
      <c r="C19" s="22" t="n">
        <f aca="false">SUMIFS(Transactions!$G$5:$G$504,Transactions!$I$5:$I$504,$A19,Transactions!$C$5:$C$504,"Expense")*Settings!$B$9</f>
        <v>0</v>
      </c>
      <c r="D19" s="22" t="n">
        <f aca="false">B19-C19</f>
        <v>0</v>
      </c>
      <c r="E19" s="22" t="n">
        <f aca="false">E18+D19</f>
        <v>45117500</v>
      </c>
      <c r="G19" s="26" t="str">
        <f aca="false">Settings!D13</f>
        <v>Stock &amp; Supplies / Stock</v>
      </c>
      <c r="H19" s="22" t="n">
        <f aca="false">SUMIFS(Transactions!$G$5:$G$504,Transactions!$C$5:$C$504,"Expense",Transactions!$D$5:$D$504,G19,Transactions!$A$5:$A$504,"&gt;="&amp;DATE(Settings!$B$4,1,1),Transactions!$A$5:$A$504,"&lt;="&amp;DATE(Settings!$B$4,12,31))*Settings!$B$9</f>
        <v>5190000</v>
      </c>
      <c r="I19" s="27" t="n">
        <f aca="false">IF($H$25=0,0,H19/$H$25)</f>
        <v>0.328689043698543</v>
      </c>
    </row>
    <row r="20" customFormat="false" ht="15" hidden="false" customHeight="false" outlineLevel="0" collapsed="false">
      <c r="A20" s="25" t="n">
        <f aca="false">DATE(Settings!$B$4,6,1)</f>
        <v>46174</v>
      </c>
      <c r="B20" s="22" t="n">
        <f aca="false">SUMIFS(Transactions!$G$5:$G$504,Transactions!$I$5:$I$504,$A20,Transactions!$C$5:$C$504,"Income")*Settings!$B$9</f>
        <v>0</v>
      </c>
      <c r="C20" s="22" t="n">
        <f aca="false">SUMIFS(Transactions!$G$5:$G$504,Transactions!$I$5:$I$504,$A20,Transactions!$C$5:$C$504,"Expense")*Settings!$B$9</f>
        <v>0</v>
      </c>
      <c r="D20" s="22" t="n">
        <f aca="false">B20-C20</f>
        <v>0</v>
      </c>
      <c r="E20" s="22" t="n">
        <f aca="false">E19+D20</f>
        <v>45117500</v>
      </c>
      <c r="G20" s="26" t="str">
        <f aca="false">Settings!D14</f>
        <v>Marketing</v>
      </c>
      <c r="H20" s="22" t="n">
        <f aca="false">SUMIFS(Transactions!$G$5:$G$504,Transactions!$C$5:$C$504,"Expense",Transactions!$D$5:$D$504,G20,Transactions!$A$5:$A$504,"&gt;="&amp;DATE(Settings!$B$4,1,1),Transactions!$A$5:$A$504,"&lt;="&amp;DATE(Settings!$B$4,12,31))*Settings!$B$9</f>
        <v>800000</v>
      </c>
      <c r="I20" s="27" t="n">
        <f aca="false">IF($H$25=0,0,H20/$H$25)</f>
        <v>0.0506649778340722</v>
      </c>
    </row>
    <row r="21" customFormat="false" ht="15" hidden="false" customHeight="false" outlineLevel="0" collapsed="false">
      <c r="A21" s="25" t="n">
        <f aca="false">DATE(Settings!$B$4,7,1)</f>
        <v>46204</v>
      </c>
      <c r="B21" s="22" t="n">
        <f aca="false">SUMIFS(Transactions!$G$5:$G$504,Transactions!$I$5:$I$504,$A21,Transactions!$C$5:$C$504,"Income")*Settings!$B$9</f>
        <v>0</v>
      </c>
      <c r="C21" s="22" t="n">
        <f aca="false">SUMIFS(Transactions!$G$5:$G$504,Transactions!$I$5:$I$504,$A21,Transactions!$C$5:$C$504,"Expense")*Settings!$B$9</f>
        <v>0</v>
      </c>
      <c r="D21" s="22" t="n">
        <f aca="false">B21-C21</f>
        <v>0</v>
      </c>
      <c r="E21" s="22" t="n">
        <f aca="false">E20+D21</f>
        <v>45117500</v>
      </c>
      <c r="G21" s="26" t="str">
        <f aca="false">Settings!D15</f>
        <v>Taxes &amp; Fees / Impôts</v>
      </c>
      <c r="H21" s="22" t="n">
        <f aca="false">SUMIFS(Transactions!$G$5:$G$504,Transactions!$C$5:$C$504,"Expense",Transactions!$D$5:$D$504,G21,Transactions!$A$5:$A$504,"&gt;="&amp;DATE(Settings!$B$4,1,1),Transactions!$A$5:$A$504,"&lt;="&amp;DATE(Settings!$B$4,12,31))*Settings!$B$9</f>
        <v>1200000</v>
      </c>
      <c r="I21" s="27" t="n">
        <f aca="false">IF($H$25=0,0,H21/$H$25)</f>
        <v>0.0759974667511083</v>
      </c>
    </row>
    <row r="22" customFormat="false" ht="15" hidden="false" customHeight="false" outlineLevel="0" collapsed="false">
      <c r="A22" s="25" t="n">
        <f aca="false">DATE(Settings!$B$4,8,1)</f>
        <v>46235</v>
      </c>
      <c r="B22" s="22" t="n">
        <f aca="false">SUMIFS(Transactions!$G$5:$G$504,Transactions!$I$5:$I$504,$A22,Transactions!$C$5:$C$504,"Income")*Settings!$B$9</f>
        <v>0</v>
      </c>
      <c r="C22" s="22" t="n">
        <f aca="false">SUMIFS(Transactions!$G$5:$G$504,Transactions!$I$5:$I$504,$A22,Transactions!$C$5:$C$504,"Expense")*Settings!$B$9</f>
        <v>0</v>
      </c>
      <c r="D22" s="22" t="n">
        <f aca="false">B22-C22</f>
        <v>0</v>
      </c>
      <c r="E22" s="22" t="n">
        <f aca="false">E21+D22</f>
        <v>45117500</v>
      </c>
      <c r="G22" s="26" t="str">
        <f aca="false">Settings!D16</f>
        <v>Loan repayment / Remb. prêt</v>
      </c>
      <c r="H22" s="22" t="n">
        <f aca="false">SUMIFS(Transactions!$G$5:$G$504,Transactions!$C$5:$C$504,"Expense",Transactions!$D$5:$D$504,G22,Transactions!$A$5:$A$504,"&gt;="&amp;DATE(Settings!$B$4,1,1),Transactions!$A$5:$A$504,"&lt;="&amp;DATE(Settings!$B$4,12,31))*Settings!$B$9</f>
        <v>0</v>
      </c>
      <c r="I22" s="27" t="n">
        <f aca="false">IF($H$25=0,0,H22/$H$25)</f>
        <v>0</v>
      </c>
    </row>
    <row r="23" customFormat="false" ht="15" hidden="false" customHeight="false" outlineLevel="0" collapsed="false">
      <c r="A23" s="25" t="n">
        <f aca="false">DATE(Settings!$B$4,9,1)</f>
        <v>46266</v>
      </c>
      <c r="B23" s="22" t="n">
        <f aca="false">SUMIFS(Transactions!$G$5:$G$504,Transactions!$I$5:$I$504,$A23,Transactions!$C$5:$C$504,"Income")*Settings!$B$9</f>
        <v>0</v>
      </c>
      <c r="C23" s="22" t="n">
        <f aca="false">SUMIFS(Transactions!$G$5:$G$504,Transactions!$I$5:$I$504,$A23,Transactions!$C$5:$C$504,"Expense")*Settings!$B$9</f>
        <v>0</v>
      </c>
      <c r="D23" s="22" t="n">
        <f aca="false">B23-C23</f>
        <v>0</v>
      </c>
      <c r="E23" s="22" t="n">
        <f aca="false">E22+D23</f>
        <v>45117500</v>
      </c>
      <c r="G23" s="26" t="str">
        <f aca="false">Settings!D17</f>
        <v>Owner withdrawals / Prélèvements</v>
      </c>
      <c r="H23" s="22" t="n">
        <f aca="false">SUMIFS(Transactions!$G$5:$G$504,Transactions!$C$5:$C$504,"Expense",Transactions!$D$5:$D$504,G23,Transactions!$A$5:$A$504,"&gt;="&amp;DATE(Settings!$B$4,1,1),Transactions!$A$5:$A$504,"&lt;="&amp;DATE(Settings!$B$4,12,31))*Settings!$B$9</f>
        <v>0</v>
      </c>
      <c r="I23" s="27" t="n">
        <f aca="false">IF($H$25=0,0,H23/$H$25)</f>
        <v>0</v>
      </c>
    </row>
    <row r="24" customFormat="false" ht="15" hidden="false" customHeight="false" outlineLevel="0" collapsed="false">
      <c r="A24" s="25" t="n">
        <f aca="false">DATE(Settings!$B$4,10,1)</f>
        <v>46296</v>
      </c>
      <c r="B24" s="22" t="n">
        <f aca="false">SUMIFS(Transactions!$G$5:$G$504,Transactions!$I$5:$I$504,$A24,Transactions!$C$5:$C$504,"Income")*Settings!$B$9</f>
        <v>0</v>
      </c>
      <c r="C24" s="22" t="n">
        <f aca="false">SUMIFS(Transactions!$G$5:$G$504,Transactions!$I$5:$I$504,$A24,Transactions!$C$5:$C$504,"Expense")*Settings!$B$9</f>
        <v>0</v>
      </c>
      <c r="D24" s="22" t="n">
        <f aca="false">B24-C24</f>
        <v>0</v>
      </c>
      <c r="E24" s="22" t="n">
        <f aca="false">E23+D24</f>
        <v>45117500</v>
      </c>
      <c r="G24" s="26" t="str">
        <f aca="false">Settings!D18</f>
        <v>Other expense / Autres charges</v>
      </c>
      <c r="H24" s="22" t="n">
        <f aca="false">SUMIFS(Transactions!$G$5:$G$504,Transactions!$C$5:$C$504,"Expense",Transactions!$D$5:$D$504,G24,Transactions!$A$5:$A$504,"&gt;="&amp;DATE(Settings!$B$4,1,1),Transactions!$A$5:$A$504,"&lt;="&amp;DATE(Settings!$B$4,12,31))*Settings!$B$9</f>
        <v>0</v>
      </c>
      <c r="I24" s="27" t="n">
        <f aca="false">IF($H$25=0,0,H24/$H$25)</f>
        <v>0</v>
      </c>
    </row>
    <row r="25" customFormat="false" ht="15" hidden="false" customHeight="false" outlineLevel="0" collapsed="false">
      <c r="A25" s="25" t="n">
        <f aca="false">DATE(Settings!$B$4,11,1)</f>
        <v>46327</v>
      </c>
      <c r="B25" s="22" t="n">
        <f aca="false">SUMIFS(Transactions!$G$5:$G$504,Transactions!$I$5:$I$504,$A25,Transactions!$C$5:$C$504,"Income")*Settings!$B$9</f>
        <v>0</v>
      </c>
      <c r="C25" s="22" t="n">
        <f aca="false">SUMIFS(Transactions!$G$5:$G$504,Transactions!$I$5:$I$504,$A25,Transactions!$C$5:$C$504,"Expense")*Settings!$B$9</f>
        <v>0</v>
      </c>
      <c r="D25" s="22" t="n">
        <f aca="false">B25-C25</f>
        <v>0</v>
      </c>
      <c r="E25" s="22" t="n">
        <f aca="false">E24+D25</f>
        <v>45117500</v>
      </c>
      <c r="G25" s="5" t="s">
        <v>84</v>
      </c>
      <c r="H25" s="28" t="n">
        <f aca="false">SUM(H15:H24)</f>
        <v>15790000</v>
      </c>
      <c r="I25" s="29" t="n">
        <f aca="false">SUM(I15:I24)</f>
        <v>1</v>
      </c>
    </row>
    <row r="26" customFormat="false" ht="15" hidden="false" customHeight="false" outlineLevel="0" collapsed="false">
      <c r="A26" s="25" t="n">
        <f aca="false">DATE(Settings!$B$4,12,1)</f>
        <v>46357</v>
      </c>
      <c r="B26" s="22" t="n">
        <f aca="false">SUMIFS(Transactions!$G$5:$G$504,Transactions!$I$5:$I$504,$A26,Transactions!$C$5:$C$504,"Income")*Settings!$B$9</f>
        <v>0</v>
      </c>
      <c r="C26" s="22" t="n">
        <f aca="false">SUMIFS(Transactions!$G$5:$G$504,Transactions!$I$5:$I$504,$A26,Transactions!$C$5:$C$504,"Expense")*Settings!$B$9</f>
        <v>0</v>
      </c>
      <c r="D26" s="22" t="n">
        <f aca="false">B26-C26</f>
        <v>0</v>
      </c>
      <c r="E26" s="22" t="n">
        <f aca="false">E25+D26</f>
        <v>45117500</v>
      </c>
    </row>
    <row r="27" customFormat="false" ht="15" hidden="false" customHeight="false" outlineLevel="0" collapsed="false">
      <c r="A27" s="5" t="s">
        <v>84</v>
      </c>
      <c r="B27" s="28" t="n">
        <f aca="false">SUM(B15:B26)</f>
        <v>54177500</v>
      </c>
      <c r="C27" s="28" t="n">
        <f aca="false">SUM(C15:C26)</f>
        <v>15790000</v>
      </c>
      <c r="D27" s="28" t="n">
        <f aca="false">SUM(D15:D26)</f>
        <v>38387500</v>
      </c>
    </row>
    <row r="28" customFormat="false" ht="15" hidden="false" customHeight="false" outlineLevel="0" collapsed="false">
      <c r="A28" s="1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2026-10-29T13:49:31Z</dcterms:created>
  <dc:creator>openpyxl</dc:creator>
  <dc:description/>
  <dc:language>en-US</dc:language>
  <cp:lastModifiedBy/>
  <dcterms:modified xsi:type="dcterms:W3CDTF">2026-10-29T13:49:34Z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